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-021-0046" sheetId="1" state="visible" r:id="rId1"/>
    <sheet name="Editable_Report" sheetId="2" state="hidden" r:id="rId2"/>
    <sheet name="Original_Data" sheetId="3" state="hidden" r:id="rId3"/>
    <sheet name="Change_Log" sheetId="4" state="hidden" r:id="rId4"/>
    <sheet name="Source_Info" sheetId="5" state="hidden" r:id="rId5"/>
  </sheets>
  <definedNames>
    <definedName name="_xlnm.Print_Area" localSheetId="0">'DS-021-0046'!$A$1:$L$41</definedName>
    <definedName name="_xlnm._FilterDatabase" localSheetId="1" hidden="1">'Editable_Report'!$A$4:$F$40</definedName>
    <definedName name="_xlnm._FilterDatabase" localSheetId="2" hidden="1">'Original_Data'!$A$4:$F$40</definedName>
    <definedName name="_xlnm._FilterDatabase" localSheetId="3" hidden="1">'Change_Log'!$A$4:$F$40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color rgb="001F2937"/>
      <sz val="10"/>
    </font>
    <font>
      <name val="Arial"/>
      <b val="1"/>
      <color rgb="00008F63"/>
      <sz val="8"/>
    </font>
    <font>
      <name val="Arial"/>
      <b val="1"/>
      <color rgb="001F2937"/>
      <sz val="8"/>
    </font>
    <font>
      <name val="Arial"/>
      <b val="1"/>
      <color rgb="0064748B"/>
      <sz val="7.5"/>
    </font>
    <font>
      <name val="Arial"/>
      <b val="1"/>
      <color rgb="00008F63"/>
      <sz val="9"/>
    </font>
    <font>
      <name val="Arial"/>
      <b val="1"/>
      <color rgb="00FFFFFF"/>
      <sz val="8.5"/>
    </font>
    <font>
      <name val="Arial"/>
      <b val="1"/>
      <color rgb="001F2937"/>
      <sz val="7.5"/>
    </font>
    <font>
      <name val="Arial"/>
      <color rgb="001F2937"/>
      <sz val="7.5"/>
    </font>
    <font>
      <name val="Arial"/>
      <i val="1"/>
      <color rgb="0064748B"/>
      <sz val="7.5"/>
    </font>
    <font>
      <name val="Arial"/>
      <b val="1"/>
      <color rgb="00D31343"/>
      <sz val="8"/>
    </font>
    <font>
      <name val="Arial"/>
      <b val="1"/>
      <color rgb="001F2937"/>
      <sz val="8.5"/>
    </font>
    <font>
      <name val="Arial"/>
      <color rgb="0064748B"/>
      <sz val="7"/>
    </font>
    <font>
      <name val="Calibri"/>
      <b val="1"/>
      <color rgb="00003366"/>
      <sz val="16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31343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03366"/>
      </patternFill>
    </fill>
    <fill>
      <patternFill patternType="solid">
        <fgColor rgb="00E8EEF5"/>
      </patternFill>
    </fill>
    <fill>
      <patternFill patternType="solid">
        <fgColor rgb="00E8F5E9"/>
      </patternFill>
    </fill>
    <fill>
      <patternFill patternType="solid">
        <fgColor rgb="000055A5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bottom style="thin">
        <color rgb="00CBD7E3"/>
      </bottom>
    </border>
    <border>
      <left style="medium">
        <color rgb="00D31343"/>
      </left>
      <bottom/>
    </border>
    <border>
      <left/>
      <bottom/>
    </border>
    <border>
      <left style="medium">
        <color rgb="00D31343"/>
      </left>
      <bottom style="thin">
        <color rgb="00CAD6E2"/>
      </bottom>
    </border>
    <border>
      <left/>
      <bottom style="thin">
        <color rgb="00CAD6E2"/>
      </bottom>
    </border>
    <border>
      <bottom style="medium">
        <color rgb="00008F63"/>
      </bottom>
    </border>
    <border>
      <bottom style="hair">
        <color rgb="00DCE5EF"/>
      </bottom>
    </border>
    <border>
      <left style="thin">
        <color rgb="00CAD6E2"/>
      </left>
      <right/>
      <top style="thin">
        <color rgb="00CAD6E2"/>
      </top>
      <bottom/>
    </border>
    <border>
      <left/>
      <right/>
      <top style="thin">
        <color rgb="00CAD6E2"/>
      </top>
      <bottom/>
    </border>
    <border>
      <left/>
      <right style="thin">
        <color rgb="00CAD6E2"/>
      </right>
      <top style="thin">
        <color rgb="00CAD6E2"/>
      </top>
      <bottom/>
    </border>
    <border>
      <left style="thin">
        <color rgb="00CAD6E2"/>
      </left>
      <right/>
      <top/>
      <bottom/>
    </border>
    <border>
      <left/>
      <right/>
      <top/>
      <bottom/>
    </border>
    <border>
      <left/>
      <right style="thin">
        <color rgb="00CAD6E2"/>
      </right>
      <top/>
      <bottom/>
    </border>
    <border>
      <left style="thin">
        <color rgb="00CAD6E2"/>
      </left>
      <right/>
      <top/>
      <bottom style="thin">
        <color rgb="00CAD6E2"/>
      </bottom>
    </border>
    <border>
      <left/>
      <right/>
      <top/>
      <bottom style="thin">
        <color rgb="00CAD6E2"/>
      </bottom>
    </border>
    <border>
      <left/>
      <right style="thin">
        <color rgb="00CAD6E2"/>
      </right>
      <top/>
      <bottom style="thin">
        <color rgb="00CAD6E2"/>
      </bottom>
    </border>
    <border>
      <left style="thin">
        <color rgb="00CAD6E2"/>
      </left>
      <right style="thin">
        <color rgb="00CAD6E2"/>
      </right>
      <top style="thin">
        <color rgb="00CAD6E2"/>
      </top>
      <bottom/>
    </border>
    <border>
      <left/>
      <right/>
      <top style="thin">
        <color rgb="00CAD6E2"/>
      </top>
      <bottom/>
      <diagonal/>
    </border>
    <border>
      <left/>
      <right style="thin">
        <color rgb="00CAD6E2"/>
      </right>
      <top style="thin">
        <color rgb="00CAD6E2"/>
      </top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dashed">
        <color rgb="00D6E0EA"/>
      </bottom>
    </border>
    <border>
      <left style="thin">
        <color rgb="00CAD6E2"/>
      </left>
      <right style="thin">
        <color rgb="00CAD6E2"/>
      </right>
      <top/>
      <bottom/>
    </border>
    <border>
      <left/>
      <right style="thin">
        <color rgb="00CAD6E2"/>
      </right>
      <top/>
      <bottom/>
      <diagonal/>
    </border>
    <border>
      <top style="medium">
        <color rgb="00D31343"/>
      </top>
    </border>
    <border>
      <left style="thin">
        <color rgb="008AA0B8"/>
      </left>
      <right style="thin">
        <color rgb="008AA0B8"/>
      </right>
      <top style="thin">
        <color rgb="008AA0B8"/>
      </top>
      <bottom style="thin">
        <color rgb="008AA0B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2" applyAlignment="1" pivotButton="0" quotePrefix="0" xfId="0">
      <alignment vertical="center"/>
    </xf>
    <xf numFmtId="0" fontId="0" fillId="2" borderId="3" pivotButton="0" quotePrefix="0" xfId="0"/>
    <xf numFmtId="0" fontId="4" fillId="2" borderId="2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0" fontId="0" fillId="2" borderId="5" pivotButton="0" quotePrefix="0" xfId="0"/>
    <xf numFmtId="0" fontId="6" fillId="0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11" fillId="5" borderId="20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8" fillId="4" borderId="7" applyAlignment="1" pivotButton="0" quotePrefix="0" xfId="0">
      <alignment vertical="center"/>
    </xf>
    <xf numFmtId="0" fontId="9" fillId="4" borderId="7" applyAlignment="1" applyProtection="1" pivotButton="0" quotePrefix="0" xfId="0">
      <alignment vertical="center" shrinkToFit="1"/>
      <protection locked="0" hidden="0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8" fillId="5" borderId="7" applyAlignment="1" pivotButton="0" quotePrefix="0" xfId="0">
      <alignment vertical="center"/>
    </xf>
    <xf numFmtId="0" fontId="9" fillId="5" borderId="7" applyAlignment="1" applyProtection="1" pivotButton="0" quotePrefix="0" xfId="0">
      <alignment vertical="center" shrinkToFit="1"/>
      <protection locked="0" hidden="0"/>
    </xf>
    <xf numFmtId="0" fontId="0" fillId="6" borderId="11" pivotButton="0" quotePrefix="0" xfId="0"/>
    <xf numFmtId="0" fontId="0" fillId="6" borderId="12" pivotButton="0" quotePrefix="0" xfId="0"/>
    <xf numFmtId="0" fontId="0" fillId="6" borderId="13" pivotButton="0" quotePrefix="0" xfId="0"/>
    <xf numFmtId="0" fontId="12" fillId="6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10" fillId="4" borderId="7" applyAlignment="1" applyProtection="1" pivotButton="0" quotePrefix="0" xfId="0">
      <alignment vertical="center" shrinkToFit="1"/>
      <protection locked="0" hidden="0"/>
    </xf>
    <xf numFmtId="0" fontId="10" fillId="5" borderId="7" applyAlignment="1" applyProtection="1" pivotButton="0" quotePrefix="0" xfId="0">
      <alignment vertical="center" shrinkToFit="1"/>
      <protection locked="0" hidden="0"/>
    </xf>
    <xf numFmtId="0" fontId="13" fillId="0" borderId="23" applyAlignment="1" applyProtection="1" pivotButton="0" quotePrefix="0" xfId="0">
      <alignment vertical="center" wrapText="1"/>
      <protection locked="0" hidden="0"/>
    </xf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6" fillId="7" borderId="24" applyAlignment="1" pivotButton="0" quotePrefix="0" xfId="0">
      <alignment horizontal="center" vertical="center" wrapText="1"/>
    </xf>
    <xf numFmtId="49" fontId="17" fillId="0" borderId="24" applyAlignment="1" pivotButton="0" quotePrefix="0" xfId="0">
      <alignment vertical="center"/>
    </xf>
    <xf numFmtId="0" fontId="18" fillId="8" borderId="24" applyAlignment="1" pivotButton="0" quotePrefix="0" xfId="0">
      <alignment vertical="center" wrapText="1"/>
    </xf>
    <xf numFmtId="49" fontId="17" fillId="5" borderId="24" applyAlignment="1" applyProtection="1" pivotButton="0" quotePrefix="0" xfId="0">
      <alignment vertical="center" wrapText="1"/>
      <protection locked="0" hidden="0"/>
    </xf>
    <xf numFmtId="49" fontId="17" fillId="0" borderId="24" applyAlignment="1" applyProtection="1" pivotButton="0" quotePrefix="0" xfId="0">
      <alignment vertical="center"/>
      <protection locked="0" hidden="0"/>
    </xf>
    <xf numFmtId="0" fontId="17" fillId="0" borderId="24" applyAlignment="1" pivotButton="0" quotePrefix="0" xfId="0">
      <alignment vertical="center" wrapText="1"/>
    </xf>
    <xf numFmtId="0" fontId="17" fillId="9" borderId="24" applyAlignment="1" pivotButton="0" quotePrefix="0" xfId="0">
      <alignment vertical="center"/>
    </xf>
    <xf numFmtId="49" fontId="17" fillId="5" borderId="24" applyAlignment="1" pivotButton="0" quotePrefix="0" xfId="0">
      <alignment vertical="center" wrapText="1"/>
    </xf>
    <xf numFmtId="0" fontId="15" fillId="0" borderId="0" pivotButton="0" quotePrefix="0" xfId="0"/>
    <xf numFmtId="0" fontId="16" fillId="10" borderId="24" applyAlignment="1" pivotButton="0" quotePrefix="0" xfId="0">
      <alignment horizontal="center" vertical="center" wrapText="1"/>
    </xf>
    <xf numFmtId="0" fontId="17" fillId="11" borderId="24" applyAlignment="1" pivotButton="0" quotePrefix="0" xfId="0">
      <alignment vertical="center" wrapText="1"/>
    </xf>
    <xf numFmtId="49" fontId="17" fillId="0" borderId="2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11</row>
      <rowOff>63500</rowOff>
    </from>
    <ext cx="381000" cy="36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38100</rowOff>
    </from>
    <ext cx="38100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12700</rowOff>
    </from>
    <ext cx="3810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41"/>
  <sheetViews>
    <sheetView showGridLines="0" view="pageLayout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4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</cols>
  <sheetData>
    <row r="1" ht="25" customHeight="1">
      <c r="A1" s="1" t="inlineStr">
        <is>
          <t>PRODUCT INFORMATION</t>
        </is>
      </c>
      <c r="D1" s="2" t="inlineStr">
        <is>
          <t>MGM VARVEL Power Transmission</t>
        </is>
      </c>
    </row>
    <row r="2" ht="6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2" customHeight="1"/>
    <row r="4" ht="14" customHeight="1">
      <c r="A4" s="4" t="inlineStr">
        <is>
          <t>CATALOG DESIGNATION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20" customHeight="1">
      <c r="A5" s="6" t="inlineStr">
        <is>
          <t>GEARBOX RF 042 - IEC 90 B5 1: 36.53 - MOUNTING POSITION M1 - OUTPUT FLANGE D160 + SMX IEC 90 B5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4" customHeight="1">
      <c r="A6" s="7" t="inlineStr">
        <is>
          <t>Parallel Helical Gear Motors (RF Series) + AC motors SMX.. (IE3)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12" customHeight="1"/>
    <row r="8" ht="25" customHeight="1">
      <c r="A8" s="9" t="inlineStr">
        <is>
          <t>Product Data</t>
        </is>
      </c>
      <c r="B8" s="10" t="inlineStr">
        <is>
          <t>DS-021-0046</t>
        </is>
      </c>
      <c r="C8" s="11" t="n"/>
      <c r="D8" s="12" t="inlineStr">
        <is>
          <t>P - FOOT / V - FLANGE MOUNTING POSITIONS</t>
        </is>
      </c>
      <c r="E8" s="13" t="n"/>
      <c r="F8" s="13" t="n"/>
      <c r="G8" s="13" t="n"/>
      <c r="H8" s="13" t="n"/>
      <c r="I8" s="13" t="n"/>
      <c r="J8" s="13" t="n"/>
      <c r="K8" s="13" t="n"/>
      <c r="L8" s="14" t="n"/>
    </row>
    <row r="9" ht="19.5" customHeight="1">
      <c r="A9" s="15" t="inlineStr">
        <is>
          <t>Rated motor power</t>
        </is>
      </c>
      <c r="B9" s="16" t="inlineStr">
        <is>
          <t>(kW): 1.5</t>
        </is>
      </c>
      <c r="D9" s="17" t="n"/>
      <c r="E9" s="18" t="n"/>
      <c r="F9" s="18" t="n"/>
      <c r="G9" s="18" t="n"/>
      <c r="H9" s="18" t="n"/>
      <c r="I9" s="18" t="n"/>
      <c r="J9" s="18" t="n"/>
      <c r="K9" s="18" t="n"/>
      <c r="L9" s="19" t="n"/>
    </row>
    <row r="10" ht="19.5" customHeight="1">
      <c r="A10" s="20" t="inlineStr">
        <is>
          <t>Rated motor speed</t>
        </is>
      </c>
      <c r="B10" s="21" t="inlineStr">
        <is>
          <t>(rpm): 1439.3</t>
        </is>
      </c>
      <c r="D10" s="22" t="n"/>
      <c r="E10" s="23" t="n"/>
      <c r="F10" s="23" t="n"/>
      <c r="G10" s="23" t="n"/>
      <c r="H10" s="23" t="n"/>
      <c r="I10" s="23" t="n"/>
      <c r="J10" s="23" t="n"/>
      <c r="K10" s="23" t="n"/>
      <c r="L10" s="24" t="n"/>
    </row>
    <row r="11" ht="19.5" customHeight="1">
      <c r="A11" s="15" t="inlineStr">
        <is>
          <t>Overall gear ratio</t>
        </is>
      </c>
      <c r="B11" s="16" t="inlineStr">
        <is>
          <t>(i): 36.53</t>
        </is>
      </c>
      <c r="D11" s="22" t="n"/>
      <c r="E11" s="23" t="n"/>
      <c r="F11" s="23" t="n"/>
      <c r="G11" s="23" t="n"/>
      <c r="H11" s="23" t="n"/>
      <c r="I11" s="23" t="n"/>
      <c r="J11" s="23" t="n"/>
      <c r="K11" s="23" t="n"/>
      <c r="L11" s="24" t="n"/>
    </row>
    <row r="12" ht="19.5" customHeight="1">
      <c r="A12" s="20" t="inlineStr">
        <is>
          <t>Output speed</t>
        </is>
      </c>
      <c r="B12" s="21" t="inlineStr">
        <is>
          <t>(rpm): 39.4</t>
        </is>
      </c>
      <c r="D12" s="22" t="n"/>
      <c r="E12" s="23" t="n"/>
      <c r="F12" s="23" t="n"/>
      <c r="G12" s="23" t="n"/>
      <c r="H12" s="23" t="n"/>
      <c r="I12" s="23" t="n"/>
      <c r="J12" s="23" t="n"/>
      <c r="K12" s="23" t="n"/>
      <c r="L12" s="24" t="n"/>
    </row>
    <row r="13" ht="19.5" customHeight="1">
      <c r="A13" s="15" t="inlineStr">
        <is>
          <t>Output torque</t>
        </is>
      </c>
      <c r="B13" s="16" t="inlineStr">
        <is>
          <t>(Nm): 349</t>
        </is>
      </c>
      <c r="D13" s="22" t="n"/>
      <c r="E13" s="23" t="n"/>
      <c r="F13" s="23" t="n"/>
      <c r="G13" s="23" t="n"/>
      <c r="H13" s="23" t="n"/>
      <c r="I13" s="23" t="n"/>
      <c r="J13" s="23" t="n"/>
      <c r="K13" s="23" t="n"/>
      <c r="L13" s="24" t="n"/>
    </row>
    <row r="14" ht="19.5" customHeight="1">
      <c r="A14" s="20" t="inlineStr">
        <is>
          <t>Service factor</t>
        </is>
      </c>
      <c r="B14" s="21" t="inlineStr">
        <is>
          <t>: 1.1</t>
        </is>
      </c>
      <c r="D14" s="25" t="inlineStr">
        <is>
          <t>Mounting Positions
P1 - P6 / V1 - V6 / Va / V2</t>
        </is>
      </c>
      <c r="L14" s="26" t="n"/>
    </row>
    <row r="15" ht="19.5" customHeight="1">
      <c r="A15" s="15" t="inlineStr">
        <is>
          <t>Output shaft type</t>
        </is>
      </c>
      <c r="B15" s="16" t="inlineStr">
        <is>
          <t>: Hollow with keyway</t>
        </is>
      </c>
      <c r="D15" s="22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ht="19.5" customHeight="1">
      <c r="A16" s="20" t="inlineStr">
        <is>
          <t>Output shaft dimensions</t>
        </is>
      </c>
      <c r="B16" s="21" t="inlineStr">
        <is>
          <t>(mm): ø35H7</t>
        </is>
      </c>
      <c r="D16" s="22" t="n"/>
      <c r="E16" s="23" t="n"/>
      <c r="F16" s="23" t="n"/>
      <c r="G16" s="23" t="n"/>
      <c r="H16" s="23" t="n"/>
      <c r="I16" s="23" t="n"/>
      <c r="J16" s="23" t="n"/>
      <c r="K16" s="23" t="n"/>
      <c r="L16" s="24" t="n"/>
    </row>
    <row r="17" ht="19.5" customHeight="1">
      <c r="A17" s="15" t="inlineStr">
        <is>
          <t>Permitted output overhung load</t>
        </is>
      </c>
      <c r="B17" s="16" t="inlineStr">
        <is>
          <t>(N): 6400</t>
        </is>
      </c>
      <c r="D17" s="27" t="n"/>
      <c r="E17" s="28" t="n"/>
      <c r="F17" s="28" t="n"/>
      <c r="G17" s="28" t="n"/>
      <c r="H17" s="28" t="n"/>
      <c r="I17" s="28" t="n"/>
      <c r="J17" s="28" t="n"/>
      <c r="K17" s="28" t="n"/>
      <c r="L17" s="29" t="n"/>
    </row>
    <row r="18" ht="19.5" customHeight="1">
      <c r="A18" s="20" t="inlineStr">
        <is>
          <t>Direction of rotation</t>
        </is>
      </c>
      <c r="B18" s="21" t="inlineStr">
        <is>
          <t>: Bi-directional</t>
        </is>
      </c>
      <c r="D18" s="27" t="n"/>
      <c r="E18" s="28" t="n"/>
      <c r="F18" s="28" t="n"/>
      <c r="G18" s="28" t="n"/>
      <c r="H18" s="28" t="n"/>
      <c r="I18" s="28" t="n"/>
      <c r="J18" s="28" t="n"/>
      <c r="K18" s="28" t="n"/>
      <c r="L18" s="29" t="n"/>
    </row>
    <row r="19" ht="25" customHeight="1">
      <c r="A19" s="15" t="inlineStr">
        <is>
          <t>Mounting position</t>
        </is>
      </c>
      <c r="B19" s="16" t="inlineStr">
        <is>
          <t>: M1</t>
        </is>
      </c>
      <c r="D19" s="12" t="inlineStr">
        <is>
          <t>TERMINAL BOX POSITIONS</t>
        </is>
      </c>
      <c r="E19" s="13" t="n"/>
      <c r="F19" s="13" t="n"/>
      <c r="G19" s="13" t="n"/>
      <c r="H19" s="13" t="n"/>
      <c r="I19" s="13" t="n"/>
      <c r="J19" s="13" t="n"/>
      <c r="K19" s="13" t="n"/>
      <c r="L19" s="14" t="n"/>
    </row>
    <row r="20" ht="19.5" customHeight="1">
      <c r="A20" s="20" t="inlineStr">
        <is>
          <t>Flange diameter (If flange mounted)</t>
        </is>
      </c>
      <c r="B20" s="21" t="inlineStr">
        <is>
          <t>(mm): 160</t>
        </is>
      </c>
      <c r="D20" s="17" t="n"/>
      <c r="E20" s="18" t="n"/>
      <c r="F20" s="18" t="n"/>
      <c r="G20" s="18" t="n"/>
      <c r="H20" s="18" t="n"/>
      <c r="I20" s="18" t="n"/>
      <c r="J20" s="18" t="n"/>
      <c r="K20" s="18" t="n"/>
      <c r="L20" s="19" t="n"/>
    </row>
    <row r="21" ht="19.5" customHeight="1">
      <c r="A21" s="15" t="inlineStr">
        <is>
          <t>Lubricant type</t>
        </is>
      </c>
      <c r="B21" s="16" t="inlineStr">
        <is>
          <t>: ISO VG 320</t>
        </is>
      </c>
      <c r="D21" s="22" t="n"/>
      <c r="E21" s="23" t="n"/>
      <c r="F21" s="23" t="n"/>
      <c r="G21" s="23" t="n"/>
      <c r="H21" s="23" t="n"/>
      <c r="I21" s="23" t="n"/>
      <c r="J21" s="23" t="n"/>
      <c r="K21" s="23" t="n"/>
      <c r="L21" s="24" t="n"/>
    </row>
    <row r="22" ht="19.5" customHeight="1">
      <c r="A22" s="20" t="inlineStr">
        <is>
          <t>Lubricant quantity</t>
        </is>
      </c>
      <c r="B22" s="21" t="inlineStr">
        <is>
          <t>(Litres): 2</t>
        </is>
      </c>
      <c r="D22" s="22" t="n"/>
      <c r="E22" s="23" t="n"/>
      <c r="F22" s="23" t="n"/>
      <c r="G22" s="23" t="n"/>
      <c r="H22" s="23" t="n"/>
      <c r="I22" s="23" t="n"/>
      <c r="J22" s="23" t="n"/>
      <c r="K22" s="23" t="n"/>
      <c r="L22" s="24" t="n"/>
    </row>
    <row r="23" ht="19.5" customHeight="1">
      <c r="A23" s="15" t="inlineStr">
        <is>
          <t>Position of terminal box</t>
        </is>
      </c>
      <c r="B23" s="16" t="inlineStr">
        <is>
          <t>: KP1</t>
        </is>
      </c>
      <c r="D23" s="22" t="n"/>
      <c r="E23" s="23" t="n"/>
      <c r="F23" s="23" t="n"/>
      <c r="G23" s="23" t="n"/>
      <c r="H23" s="23" t="n"/>
      <c r="I23" s="23" t="n"/>
      <c r="J23" s="23" t="n"/>
      <c r="K23" s="23" t="n"/>
      <c r="L23" s="24" t="n"/>
    </row>
    <row r="24" ht="19.5" customHeight="1">
      <c r="A24" s="20" t="inlineStr">
        <is>
          <t>Cable entry position</t>
        </is>
      </c>
      <c r="B24" s="21" t="inlineStr">
        <is>
          <t>: A</t>
        </is>
      </c>
      <c r="D24" s="22" t="n"/>
      <c r="E24" s="23" t="n"/>
      <c r="F24" s="23" t="n"/>
      <c r="G24" s="23" t="n"/>
      <c r="H24" s="23" t="n"/>
      <c r="I24" s="23" t="n"/>
      <c r="J24" s="23" t="n"/>
      <c r="K24" s="23" t="n"/>
      <c r="L24" s="24" t="n"/>
    </row>
    <row r="25" ht="19.5" customHeight="1">
      <c r="A25" s="15" t="inlineStr">
        <is>
          <t>Finished paint colour</t>
        </is>
      </c>
      <c r="B25" s="30" t="inlineStr">
        <is>
          <t>Required value not found in catalogue.</t>
        </is>
      </c>
      <c r="D25" s="25">
        <f> "Terminal Box Position"&amp;CHAR(10)&amp;"Position: "&amp;SUBSTITUTE(B23,": ","")</f>
        <v/>
      </c>
      <c r="L25" s="26" t="n"/>
    </row>
    <row r="26" ht="19.5" customHeight="1">
      <c r="A26" s="20" t="inlineStr">
        <is>
          <t>Motor type</t>
        </is>
      </c>
      <c r="B26" s="21" t="inlineStr">
        <is>
          <t>: Standard</t>
        </is>
      </c>
      <c r="D26" s="22" t="n"/>
      <c r="E26" s="23" t="n"/>
      <c r="F26" s="23" t="n"/>
      <c r="G26" s="23" t="n"/>
      <c r="H26" s="23" t="n"/>
      <c r="I26" s="23" t="n"/>
      <c r="J26" s="23" t="n"/>
      <c r="K26" s="23" t="n"/>
      <c r="L26" s="24" t="n"/>
    </row>
    <row r="27" ht="19.5" customHeight="1">
      <c r="A27" s="15" t="inlineStr">
        <is>
          <t>Number of poles</t>
        </is>
      </c>
      <c r="B27" s="16" t="inlineStr">
        <is>
          <t>(nos): 4</t>
        </is>
      </c>
      <c r="D27" s="22" t="n"/>
      <c r="E27" s="23" t="n"/>
      <c r="F27" s="23" t="n"/>
      <c r="G27" s="23" t="n"/>
      <c r="H27" s="23" t="n"/>
      <c r="I27" s="23" t="n"/>
      <c r="J27" s="23" t="n"/>
      <c r="K27" s="23" t="n"/>
      <c r="L27" s="24" t="n"/>
    </row>
    <row r="28" ht="19.5" customHeight="1">
      <c r="A28" s="20" t="inlineStr">
        <is>
          <t>Duration factor</t>
        </is>
      </c>
      <c r="B28" s="21" t="inlineStr">
        <is>
          <t>(%): S1-100</t>
        </is>
      </c>
      <c r="D28" s="27" t="n"/>
      <c r="E28" s="28" t="n"/>
      <c r="F28" s="28" t="n"/>
      <c r="G28" s="28" t="n"/>
      <c r="H28" s="28" t="n"/>
      <c r="I28" s="28" t="n"/>
      <c r="J28" s="28" t="n"/>
      <c r="K28" s="28" t="n"/>
      <c r="L28" s="29" t="n"/>
    </row>
    <row r="29" ht="19.5" customHeight="1">
      <c r="A29" s="15" t="inlineStr">
        <is>
          <t>Efficiency class</t>
        </is>
      </c>
      <c r="B29" s="16" t="inlineStr">
        <is>
          <t>: IE3</t>
        </is>
      </c>
      <c r="D29" s="27" t="n"/>
      <c r="E29" s="28" t="n"/>
      <c r="F29" s="28" t="n"/>
      <c r="G29" s="28" t="n"/>
      <c r="H29" s="28" t="n"/>
      <c r="I29" s="28" t="n"/>
      <c r="J29" s="28" t="n"/>
      <c r="K29" s="28" t="n"/>
      <c r="L29" s="29" t="n"/>
    </row>
    <row r="30" ht="25" customHeight="1">
      <c r="A30" s="20" t="inlineStr">
        <is>
          <t>Efficiency</t>
        </is>
      </c>
      <c r="B30" s="31" t="inlineStr">
        <is>
          <t>Required value not found in catalogue.</t>
        </is>
      </c>
      <c r="D30" s="12" t="inlineStr">
        <is>
          <t>CABLE ENTRY HOLE POSITIONS</t>
        </is>
      </c>
      <c r="E30" s="13" t="n"/>
      <c r="F30" s="13" t="n"/>
      <c r="G30" s="13" t="n"/>
      <c r="H30" s="13" t="n"/>
      <c r="I30" s="13" t="n"/>
      <c r="J30" s="13" t="n"/>
      <c r="K30" s="13" t="n"/>
      <c r="L30" s="14" t="n"/>
    </row>
    <row r="31" ht="19.5" customHeight="1">
      <c r="A31" s="15" t="inlineStr">
        <is>
          <t>CE Marking</t>
        </is>
      </c>
      <c r="B31" s="16" t="inlineStr">
        <is>
          <t>: Yes</t>
        </is>
      </c>
      <c r="D31" s="17" t="n"/>
      <c r="E31" s="18" t="n"/>
      <c r="F31" s="18" t="n"/>
      <c r="G31" s="18" t="n"/>
      <c r="H31" s="18" t="n"/>
      <c r="I31" s="18" t="n"/>
      <c r="J31" s="18" t="n"/>
      <c r="K31" s="18" t="n"/>
      <c r="L31" s="19" t="n"/>
    </row>
    <row r="32" ht="19.5" customHeight="1">
      <c r="A32" s="20" t="inlineStr">
        <is>
          <t>Motor voltage</t>
        </is>
      </c>
      <c r="B32" s="21" t="inlineStr">
        <is>
          <t>(V): 240 / 415</t>
        </is>
      </c>
      <c r="D32" s="22" t="n"/>
      <c r="E32" s="23" t="n"/>
      <c r="F32" s="23" t="n"/>
      <c r="G32" s="23" t="n"/>
      <c r="H32" s="23" t="n"/>
      <c r="I32" s="23" t="n"/>
      <c r="J32" s="23" t="n"/>
      <c r="K32" s="23" t="n"/>
      <c r="L32" s="24" t="n"/>
    </row>
    <row r="33" ht="19.5" customHeight="1">
      <c r="A33" s="15" t="inlineStr">
        <is>
          <t>Frequency</t>
        </is>
      </c>
      <c r="B33" s="16" t="inlineStr">
        <is>
          <t>(Hz): 50</t>
        </is>
      </c>
      <c r="D33" s="22" t="n"/>
      <c r="E33" s="23" t="n"/>
      <c r="F33" s="23" t="n"/>
      <c r="G33" s="23" t="n"/>
      <c r="H33" s="23" t="n"/>
      <c r="I33" s="23" t="n"/>
      <c r="J33" s="23" t="n"/>
      <c r="K33" s="23" t="n"/>
      <c r="L33" s="24" t="n"/>
    </row>
    <row r="34" ht="19.5" customHeight="1">
      <c r="A34" s="20" t="inlineStr">
        <is>
          <t>Rated current</t>
        </is>
      </c>
      <c r="B34" s="31" t="inlineStr">
        <is>
          <t>Required value not found in catalogue.</t>
        </is>
      </c>
      <c r="D34" s="22" t="n"/>
      <c r="E34" s="23" t="n"/>
      <c r="F34" s="23" t="n"/>
      <c r="G34" s="23" t="n"/>
      <c r="H34" s="23" t="n"/>
      <c r="I34" s="23" t="n"/>
      <c r="J34" s="23" t="n"/>
      <c r="K34" s="23" t="n"/>
      <c r="L34" s="24" t="n"/>
    </row>
    <row r="35" ht="19.5" customHeight="1">
      <c r="A35" s="15" t="inlineStr">
        <is>
          <t>Power factor</t>
        </is>
      </c>
      <c r="B35" s="30" t="inlineStr">
        <is>
          <t>Required value not found in catalogue.</t>
        </is>
      </c>
      <c r="D35" s="22" t="n"/>
      <c r="E35" s="23" t="n"/>
      <c r="F35" s="23" t="n"/>
      <c r="G35" s="23" t="n"/>
      <c r="H35" s="23" t="n"/>
      <c r="I35" s="23" t="n"/>
      <c r="J35" s="23" t="n"/>
      <c r="K35" s="23" t="n"/>
      <c r="L35" s="24" t="n"/>
    </row>
    <row r="36" ht="19.5" customHeight="1">
      <c r="A36" s="20" t="inlineStr">
        <is>
          <t>Insulation class</t>
        </is>
      </c>
      <c r="B36" s="21" t="inlineStr">
        <is>
          <t>: F</t>
        </is>
      </c>
      <c r="D36" s="25">
        <f> "Cable Entry Position"&amp;CHAR(10)&amp;"Position: "&amp;SUBSTITUTE(B24,": ","")</f>
        <v/>
      </c>
      <c r="L36" s="26" t="n"/>
    </row>
    <row r="37" ht="19.5" customHeight="1">
      <c r="A37" s="15" t="inlineStr">
        <is>
          <t>Protection class</t>
        </is>
      </c>
      <c r="B37" s="16" t="inlineStr">
        <is>
          <t>: IP 55</t>
        </is>
      </c>
      <c r="D37" s="22" t="n"/>
      <c r="E37" s="23" t="n"/>
      <c r="F37" s="23" t="n"/>
      <c r="G37" s="23" t="n"/>
      <c r="H37" s="23" t="n"/>
      <c r="I37" s="23" t="n"/>
      <c r="J37" s="23" t="n"/>
      <c r="K37" s="23" t="n"/>
      <c r="L37" s="24" t="n"/>
    </row>
    <row r="38" ht="19.5" customHeight="1">
      <c r="A38" s="20" t="inlineStr">
        <is>
          <t>Design requirement</t>
        </is>
      </c>
      <c r="B38" s="21" t="inlineStr">
        <is>
          <t>: Europe (CE)</t>
        </is>
      </c>
      <c r="D38" s="22" t="n"/>
      <c r="E38" s="23" t="n"/>
      <c r="F38" s="23" t="n"/>
      <c r="G38" s="23" t="n"/>
      <c r="H38" s="23" t="n"/>
      <c r="I38" s="23" t="n"/>
      <c r="J38" s="23" t="n"/>
      <c r="K38" s="23" t="n"/>
      <c r="L38" s="24" t="n"/>
    </row>
    <row r="39" ht="19.5" customHeight="1">
      <c r="A39" s="15" t="inlineStr">
        <is>
          <t>Weight</t>
        </is>
      </c>
      <c r="B39" s="16" t="inlineStr">
        <is>
          <t>(kgs): 33 (gear unit only; motor mass not tabulated)</t>
        </is>
      </c>
      <c r="D39" s="27" t="n"/>
      <c r="E39" s="28" t="n"/>
      <c r="F39" s="28" t="n"/>
      <c r="G39" s="28" t="n"/>
      <c r="H39" s="28" t="n"/>
      <c r="I39" s="28" t="n"/>
      <c r="J39" s="28" t="n"/>
      <c r="K39" s="28" t="n"/>
      <c r="L39" s="29" t="n"/>
    </row>
    <row r="40" ht="19.5" customHeight="1">
      <c r="A40" s="20" t="inlineStr">
        <is>
          <t>Additional Features</t>
        </is>
      </c>
      <c r="B40" s="21" t="inlineStr">
        <is>
          <t>: —</t>
        </is>
      </c>
      <c r="D40" s="27" t="n"/>
      <c r="E40" s="28" t="n"/>
      <c r="F40" s="28" t="n"/>
      <c r="G40" s="28" t="n"/>
      <c r="H40" s="28" t="n"/>
      <c r="I40" s="28" t="n"/>
      <c r="J40" s="28" t="n"/>
      <c r="K40" s="28" t="n"/>
      <c r="L40" s="29" t="n"/>
    </row>
    <row r="41" ht="26" customHeight="1">
      <c r="A41" s="3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</row>
  </sheetData>
  <mergeCells count="12">
    <mergeCell ref="D30:L30"/>
    <mergeCell ref="D1:L1"/>
    <mergeCell ref="D19:L19"/>
    <mergeCell ref="A1:C1"/>
    <mergeCell ref="A41:L41"/>
    <mergeCell ref="D14:L14"/>
    <mergeCell ref="A5:L5"/>
    <mergeCell ref="A6:L6"/>
    <mergeCell ref="D36:L36"/>
    <mergeCell ref="D8:L8"/>
    <mergeCell ref="D25:L25"/>
    <mergeCell ref="A4:L4"/>
  </mergeCells>
  <printOptions horizontalCentered="1"/>
  <pageMargins left="0.62" right="0.62" top="0.5" bottom="0.42" header="0.15" footer="0.1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38" t="inlineStr">
        <is>
          <t>GEARBOX RF 042 - IEC 90 B5 1: 36.53 - MOUNTING POSITION M1 - OUTPUT FLANGE D160 + SMX IEC 90 B5</t>
        </is>
      </c>
      <c r="D5" s="39" t="inlineStr"/>
      <c r="E5" s="40" t="inlineStr">
        <is>
          <t>DS-021-0046</t>
        </is>
      </c>
      <c r="F5" s="41">
        <f>IF(AND(C5&amp;""=Original_Data!C5&amp;"",D5&amp;""=Original_Data!D5&amp;""),"Auto","Edited")</f>
        <v/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38" t="inlineStr">
        <is>
          <t>Parallel Helical Gear Motors (RF Series) + AC motors SMX.. (IE3)</t>
        </is>
      </c>
      <c r="D6" s="39" t="inlineStr"/>
      <c r="E6" s="40" t="inlineStr">
        <is>
          <t>DS-021-0046</t>
        </is>
      </c>
      <c r="F6" s="41">
        <f>IF(AND(C6&amp;""=Original_Data!C6&amp;"",D6&amp;""=Original_Data!D6&amp;""),"Auto","Edited")</f>
        <v/>
      </c>
    </row>
    <row r="7">
      <c r="A7" s="36" t="inlineStr">
        <is>
          <t>document_id</t>
        </is>
      </c>
      <c r="B7" s="37" t="inlineStr">
        <is>
          <t>Document number</t>
        </is>
      </c>
      <c r="C7" s="38" t="inlineStr">
        <is>
          <t>DS-021-0046</t>
        </is>
      </c>
      <c r="D7" s="39" t="inlineStr"/>
      <c r="E7" s="40" t="inlineStr">
        <is>
          <t>DS-021-0046</t>
        </is>
      </c>
      <c r="F7" s="41">
        <f>IF(AND(C7&amp;""=Original_Data!C7&amp;"",D7&amp;""=Original_Data!D7&amp;""),"Auto","Edited")</f>
        <v/>
      </c>
    </row>
    <row r="8">
      <c r="A8" s="36" t="inlineStr">
        <is>
          <t>disclaimer</t>
        </is>
      </c>
      <c r="B8" s="37" t="inlineStr">
        <is>
          <t>Disclaimer</t>
        </is>
      </c>
      <c r="C8" s="38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9" t="inlineStr"/>
      <c r="E8" s="40" t="inlineStr">
        <is>
          <t>DS-021-0046</t>
        </is>
      </c>
      <c r="F8" s="41">
        <f>IF(AND(C8&amp;""=Original_Data!C8&amp;"",D8&amp;""=Original_Data!D8&amp;""),"Auto","Edited")</f>
        <v/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38" t="inlineStr">
        <is>
          <t>1.5</t>
        </is>
      </c>
      <c r="D9" s="39" t="inlineStr">
        <is>
          <t>kW</t>
        </is>
      </c>
      <c r="E9" s="40" t="inlineStr">
        <is>
          <t>Selection tables RF pp.37-45 / RK pp.71-78</t>
        </is>
      </c>
      <c r="F9" s="41">
        <f>IF(AND(C9&amp;""=Original_Data!C9&amp;"",D9&amp;""=Original_Data!D9&amp;""),"Auto","Edited")</f>
        <v/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38" t="inlineStr">
        <is>
          <t>1439.3</t>
        </is>
      </c>
      <c r="D10" s="39" t="inlineStr">
        <is>
          <t>rpm</t>
        </is>
      </c>
      <c r="E10" s="40" t="inlineStr">
        <is>
          <t>Symbols p.11: i = n1/n2 together with tabulated n2 and i</t>
        </is>
      </c>
      <c r="F10" s="41">
        <f>IF(AND(C10&amp;""=Original_Data!C10&amp;"",D10&amp;""=Original_Data!D10&amp;""),"Auto","Edited")</f>
        <v/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38" t="inlineStr">
        <is>
          <t>36.53</t>
        </is>
      </c>
      <c r="D11" s="39" t="inlineStr">
        <is>
          <t>i</t>
        </is>
      </c>
      <c r="E11" s="40" t="inlineStr">
        <is>
          <t>Selection tables column i</t>
        </is>
      </c>
      <c r="F11" s="41">
        <f>IF(AND(C11&amp;""=Original_Data!C11&amp;"",D11&amp;""=Original_Data!D11&amp;""),"Auto","Edited")</f>
        <v/>
      </c>
    </row>
    <row r="12">
      <c r="A12" s="36" t="inlineStr">
        <is>
          <t>output_speed</t>
        </is>
      </c>
      <c r="B12" s="37" t="inlineStr">
        <is>
          <t>Output speed</t>
        </is>
      </c>
      <c r="C12" s="38" t="inlineStr">
        <is>
          <t>39.4</t>
        </is>
      </c>
      <c r="D12" s="39" t="inlineStr">
        <is>
          <t>rpm</t>
        </is>
      </c>
      <c r="E12" s="40" t="inlineStr">
        <is>
          <t>Selection tables column n2</t>
        </is>
      </c>
      <c r="F12" s="41">
        <f>IF(AND(C12&amp;""=Original_Data!C12&amp;"",D12&amp;""=Original_Data!D12&amp;""),"Auto","Edited")</f>
        <v/>
      </c>
    </row>
    <row r="13">
      <c r="A13" s="36" t="inlineStr">
        <is>
          <t>output_torque</t>
        </is>
      </c>
      <c r="B13" s="37" t="inlineStr">
        <is>
          <t>Output torque</t>
        </is>
      </c>
      <c r="C13" s="38" t="inlineStr">
        <is>
          <t>349</t>
        </is>
      </c>
      <c r="D13" s="39" t="inlineStr">
        <is>
          <t>Nm</t>
        </is>
      </c>
      <c r="E13" s="40" t="inlineStr">
        <is>
          <t>Selection tables column M2</t>
        </is>
      </c>
      <c r="F13" s="41">
        <f>IF(AND(C13&amp;""=Original_Data!C13&amp;"",D13&amp;""=Original_Data!D13&amp;""),"Auto","Edited")</f>
        <v/>
      </c>
    </row>
    <row r="14">
      <c r="A14" s="36" t="inlineStr">
        <is>
          <t>service_factor</t>
        </is>
      </c>
      <c r="B14" s="37" t="inlineStr">
        <is>
          <t>Service factor</t>
        </is>
      </c>
      <c r="C14" s="38" t="inlineStr">
        <is>
          <t>1.1</t>
        </is>
      </c>
      <c r="D14" s="39" t="inlineStr"/>
      <c r="E14" s="40" t="inlineStr">
        <is>
          <t>Selection tables column FS</t>
        </is>
      </c>
      <c r="F14" s="41">
        <f>IF(AND(C14&amp;""=Original_Data!C14&amp;"",D14&amp;""=Original_Data!D14&amp;""),"Auto","Edited")</f>
        <v/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38" t="inlineStr">
        <is>
          <t>Hollow with keyway</t>
        </is>
      </c>
      <c r="D15" s="39" t="inlineStr"/>
      <c r="E15" s="40" t="inlineStr">
        <is>
          <t>Designation p.16: AC / AS / AD / ACC</t>
        </is>
      </c>
      <c r="F15" s="41">
        <f>IF(AND(C15&amp;""=Original_Data!C15&amp;"",D15&amp;""=Original_Data!D15&amp;""),"Auto","Edited")</f>
        <v/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38" t="inlineStr">
        <is>
          <t>ø35H7</t>
        </is>
      </c>
      <c r="D16" s="39" t="inlineStr">
        <is>
          <t>mm</t>
        </is>
      </c>
      <c r="E16" s="40" t="inlineStr">
        <is>
          <t>p.14-15 D; p.65/95 ACC; p.94 RK AS</t>
        </is>
      </c>
      <c r="F16" s="41">
        <f>IF(AND(C16&amp;""=Original_Data!C16&amp;"",D16&amp;""=Original_Data!D16&amp;""),"Auto","Edited")</f>
        <v/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38" t="inlineStr">
        <is>
          <t>6400</t>
        </is>
      </c>
      <c r="D17" s="39" t="inlineStr">
        <is>
          <t>N</t>
        </is>
      </c>
      <c r="E17" s="40" t="inlineStr">
        <is>
          <t>Selection tables column Fr2</t>
        </is>
      </c>
      <c r="F17" s="41">
        <f>IF(AND(C17&amp;""=Original_Data!C17&amp;"",D17&amp;""=Original_Data!D17&amp;""),"Auto","Edited")</f>
        <v/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38" t="inlineStr">
        <is>
          <t>Bi-directional</t>
        </is>
      </c>
      <c r="D18" s="39" t="inlineStr"/>
      <c r="E18" s="40" t="inlineStr">
        <is>
          <t>p.96 Output Direction of Rotation with Backstop</t>
        </is>
      </c>
      <c r="F18" s="41">
        <f>IF(AND(C18&amp;""=Original_Data!C18&amp;"",D18&amp;""=Original_Data!D18&amp;""),"Auto","Edited")</f>
        <v/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38" t="inlineStr">
        <is>
          <t>M1</t>
        </is>
      </c>
      <c r="D19" s="39" t="inlineStr"/>
      <c r="E19" s="40" t="inlineStr">
        <is>
          <t>pp.18-19 M1-M6</t>
        </is>
      </c>
      <c r="F19" s="41">
        <f>IF(AND(C19&amp;""=Original_Data!C19&amp;"",D19&amp;""=Original_Data!D19&amp;""),"Auto","Edited")</f>
        <v/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38" t="inlineStr">
        <is>
          <t>160</t>
        </is>
      </c>
      <c r="D20" s="39" t="inlineStr">
        <is>
          <t>mm</t>
        </is>
      </c>
      <c r="E20" s="40" t="inlineStr">
        <is>
          <t>p.14-15 output flange P (mm)</t>
        </is>
      </c>
      <c r="F20" s="41">
        <f>IF(AND(C20&amp;""=Original_Data!C20&amp;"",D20&amp;""=Original_Data!D20&amp;""),"Auto","Edited")</f>
        <v/>
      </c>
    </row>
    <row r="21">
      <c r="A21" s="36" t="inlineStr">
        <is>
          <t>lubricant_type</t>
        </is>
      </c>
      <c r="B21" s="37" t="inlineStr">
        <is>
          <t>Lubricant type</t>
        </is>
      </c>
      <c r="C21" s="38" t="inlineStr">
        <is>
          <t>ISO VG 320</t>
        </is>
      </c>
      <c r="D21" s="39" t="inlineStr"/>
      <c r="E21" s="40" t="inlineStr">
        <is>
          <t>p.13 Grade ISO VG 320; p.22 oil type table</t>
        </is>
      </c>
      <c r="F21" s="41">
        <f>IF(AND(C21&amp;""=Original_Data!C21&amp;"",D21&amp;""=Original_Data!D21&amp;""),"Auto","Edited")</f>
        <v/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38" t="inlineStr">
        <is>
          <t>2</t>
        </is>
      </c>
      <c r="D22" s="39" t="inlineStr">
        <is>
          <t>Litres</t>
        </is>
      </c>
      <c r="E22" s="40" t="inlineStr">
        <is>
          <t>pp.18-19 oil quantity by size and M1-M6</t>
        </is>
      </c>
      <c r="F22" s="41">
        <f>IF(AND(C22&amp;""=Original_Data!C22&amp;"",D22&amp;""=Original_Data!D22&amp;""),"Auto","Edited")</f>
        <v/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38" t="inlineStr">
        <is>
          <t>KP1</t>
        </is>
      </c>
      <c r="D23" s="39" t="inlineStr"/>
      <c r="E23" s="40" t="inlineStr">
        <is>
          <t>p.17 designation X3 terminal box; DS diagram KP1-KP4</t>
        </is>
      </c>
      <c r="F23" s="41">
        <f>IF(AND(C23&amp;""=Original_Data!C23&amp;"",D23&amp;""=Original_Data!D23&amp;""),"Auto","Edited")</f>
        <v/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38" t="inlineStr">
        <is>
          <t>A</t>
        </is>
      </c>
      <c r="D24" s="39" t="inlineStr"/>
      <c r="E24" s="40" t="inlineStr">
        <is>
          <t>DS diagram A; catalogue terminal-box options</t>
        </is>
      </c>
      <c r="F24" s="41">
        <f>IF(AND(C24&amp;""=Original_Data!C24&amp;"",D24&amp;""=Original_Data!D24&amp;""),"Auto","Edited")</f>
        <v/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38" t="inlineStr">
        <is>
          <t>Required value not found in catalogue.</t>
        </is>
      </c>
      <c r="D25" s="39" t="inlineStr"/>
      <c r="E25" s="40" t="inlineStr">
        <is>
          <t>NOT IDENTIFIED in RF-RK catalogue (painting note p.98 only)</t>
        </is>
      </c>
      <c r="F25" s="41">
        <f>IF(AND(C25&amp;""=Original_Data!C25&amp;"",D25&amp;""=Original_Data!D25&amp;""),"Auto","Edited")</f>
        <v/>
      </c>
    </row>
    <row r="26">
      <c r="A26" s="36" t="inlineStr">
        <is>
          <t>motor_type</t>
        </is>
      </c>
      <c r="B26" s="37" t="inlineStr">
        <is>
          <t>Motor type</t>
        </is>
      </c>
      <c r="C26" s="38" t="inlineStr">
        <is>
          <t>Standard</t>
        </is>
      </c>
      <c r="D26" s="39" t="inlineStr"/>
      <c r="E26" s="40" t="inlineStr">
        <is>
          <t>p.28 BAX brake / SMX standard</t>
        </is>
      </c>
      <c r="F26" s="41">
        <f>IF(AND(C26&amp;""=Original_Data!C26&amp;"",D26&amp;""=Original_Data!D26&amp;""),"Auto","Edited")</f>
        <v/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38" t="inlineStr">
        <is>
          <t>4</t>
        </is>
      </c>
      <c r="D27" s="39" t="inlineStr">
        <is>
          <t>nos</t>
        </is>
      </c>
      <c r="E27" s="40" t="inlineStr">
        <is>
          <t>Gearmotor tables use n2 consistent with 4-pole ~1440 rpm (50 Hz)</t>
        </is>
      </c>
      <c r="F27" s="41">
        <f>IF(AND(C27&amp;""=Original_Data!C27&amp;"",D27&amp;""=Original_Data!D27&amp;""),"Auto","Edited")</f>
        <v/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38" t="inlineStr">
        <is>
          <t>S1-100</t>
        </is>
      </c>
      <c r="D28" s="39" t="inlineStr">
        <is>
          <t>%</t>
        </is>
      </c>
      <c r="E28" s="40" t="inlineStr">
        <is>
          <t>p.28-29 continuous duty S1</t>
        </is>
      </c>
      <c r="F28" s="41">
        <f>IF(AND(C28&amp;""=Original_Data!C28&amp;"",D28&amp;""=Original_Data!D28&amp;""),"Auto","Edited")</f>
        <v/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38" t="inlineStr">
        <is>
          <t>IE3</t>
        </is>
      </c>
      <c r="D29" s="39" t="inlineStr"/>
      <c r="E29" s="40" t="inlineStr">
        <is>
          <t>p.13 / p.28 IE2 / IE3; constructive features list IE3, IE2</t>
        </is>
      </c>
      <c r="F29" s="41">
        <f>IF(AND(C29&amp;""=Original_Data!C29&amp;"",D29&amp;""=Original_Data!D29&amp;""),"Auto","Edited")</f>
        <v/>
      </c>
    </row>
    <row r="30">
      <c r="A30" s="36" t="inlineStr">
        <is>
          <t>efficiency</t>
        </is>
      </c>
      <c r="B30" s="37" t="inlineStr">
        <is>
          <t>Efficiency</t>
        </is>
      </c>
      <c r="C30" s="38" t="inlineStr">
        <is>
          <t>Required value not found in catalogue.</t>
        </is>
      </c>
      <c r="D30" s="39" t="inlineStr">
        <is>
          <t>%</t>
        </is>
      </c>
      <c r="E30" s="40" t="inlineStr">
        <is>
          <t>NOT IDENTIFIED — no η% motor table in RF-RK catalogue</t>
        </is>
      </c>
      <c r="F30" s="41">
        <f>IF(AND(C30&amp;""=Original_Data!C30&amp;"",D30&amp;""=Original_Data!D30&amp;""),"Auto","Edited")</f>
        <v/>
      </c>
    </row>
    <row r="31">
      <c r="A31" s="36" t="inlineStr">
        <is>
          <t>ce_marking</t>
        </is>
      </c>
      <c r="B31" s="37" t="inlineStr">
        <is>
          <t>CE Marking</t>
        </is>
      </c>
      <c r="C31" s="38" t="inlineStr">
        <is>
          <t>Yes</t>
        </is>
      </c>
      <c r="D31" s="39" t="inlineStr"/>
      <c r="E31" s="40" t="inlineStr">
        <is>
          <t>p.31 CE Mark</t>
        </is>
      </c>
      <c r="F31" s="41">
        <f>IF(AND(C31&amp;""=Original_Data!C31&amp;"",D31&amp;""=Original_Data!D31&amp;""),"Auto","Edited")</f>
        <v/>
      </c>
    </row>
    <row r="32">
      <c r="A32" s="36" t="inlineStr">
        <is>
          <t>motor_voltage</t>
        </is>
      </c>
      <c r="B32" s="37" t="inlineStr">
        <is>
          <t>Motor voltage</t>
        </is>
      </c>
      <c r="C32" s="38" t="inlineStr">
        <is>
          <t>240 / 415</t>
        </is>
      </c>
      <c r="D32" s="39" t="inlineStr">
        <is>
          <t>V</t>
        </is>
      </c>
      <c r="E32" s="40" t="inlineStr">
        <is>
          <t>p.28 Δ 240 V Y 415 V</t>
        </is>
      </c>
      <c r="F32" s="41">
        <f>IF(AND(C32&amp;""=Original_Data!C32&amp;"",D32&amp;""=Original_Data!D32&amp;""),"Auto","Edited")</f>
        <v/>
      </c>
    </row>
    <row r="33">
      <c r="A33" s="36" t="inlineStr">
        <is>
          <t>frequency</t>
        </is>
      </c>
      <c r="B33" s="37" t="inlineStr">
        <is>
          <t>Frequency</t>
        </is>
      </c>
      <c r="C33" s="38" t="inlineStr">
        <is>
          <t>50</t>
        </is>
      </c>
      <c r="D33" s="39" t="inlineStr">
        <is>
          <t>Hz</t>
        </is>
      </c>
      <c r="E33" s="40" t="inlineStr">
        <is>
          <t>p.28 50 Hz</t>
        </is>
      </c>
      <c r="F33" s="41">
        <f>IF(AND(C33&amp;""=Original_Data!C33&amp;"",D33&amp;""=Original_Data!D33&amp;""),"Auto","Edited")</f>
        <v/>
      </c>
    </row>
    <row r="34">
      <c r="A34" s="36" t="inlineStr">
        <is>
          <t>rated_current</t>
        </is>
      </c>
      <c r="B34" s="37" t="inlineStr">
        <is>
          <t>Rated current</t>
        </is>
      </c>
      <c r="C34" s="38" t="inlineStr">
        <is>
          <t>Required value not found in catalogue.</t>
        </is>
      </c>
      <c r="D34" s="39" t="inlineStr">
        <is>
          <t>A</t>
        </is>
      </c>
      <c r="E34" s="40" t="inlineStr">
        <is>
          <t>NOT IDENTIFIED — no I (A) motor table in RF-RK catalogue</t>
        </is>
      </c>
      <c r="F34" s="41">
        <f>IF(AND(C34&amp;""=Original_Data!C34&amp;"",D34&amp;""=Original_Data!D34&amp;""),"Auto","Edited")</f>
        <v/>
      </c>
    </row>
    <row r="35">
      <c r="A35" s="36" t="inlineStr">
        <is>
          <t>power_factor</t>
        </is>
      </c>
      <c r="B35" s="37" t="inlineStr">
        <is>
          <t>Power factor</t>
        </is>
      </c>
      <c r="C35" s="38" t="inlineStr">
        <is>
          <t>Required value not found in catalogue.</t>
        </is>
      </c>
      <c r="D35" s="39" t="inlineStr">
        <is>
          <t>Cos ø</t>
        </is>
      </c>
      <c r="E35" s="40" t="inlineStr">
        <is>
          <t>NOT IDENTIFIED — no cos φ motor table in RF-RK catalogue</t>
        </is>
      </c>
      <c r="F35" s="41">
        <f>IF(AND(C35&amp;""=Original_Data!C35&amp;"",D35&amp;""=Original_Data!D35&amp;""),"Auto","Edited")</f>
        <v/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38" t="inlineStr">
        <is>
          <t>F</t>
        </is>
      </c>
      <c r="D36" s="39" t="inlineStr"/>
      <c r="E36" s="40" t="inlineStr">
        <is>
          <t>p.28 insulation class F</t>
        </is>
      </c>
      <c r="F36" s="41">
        <f>IF(AND(C36&amp;""=Original_Data!C36&amp;"",D36&amp;""=Original_Data!D36&amp;""),"Auto","Edited")</f>
        <v/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38" t="inlineStr">
        <is>
          <t>IP 55</t>
        </is>
      </c>
      <c r="D37" s="39" t="inlineStr"/>
      <c r="E37" s="40" t="inlineStr">
        <is>
          <t>p.28 IP 55</t>
        </is>
      </c>
      <c r="F37" s="41">
        <f>IF(AND(C37&amp;""=Original_Data!C37&amp;"",D37&amp;""=Original_Data!D37&amp;""),"Auto","Edited")</f>
        <v/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38" t="inlineStr">
        <is>
          <t>Europe (CE)</t>
        </is>
      </c>
      <c r="D38" s="39" t="inlineStr"/>
      <c r="E38" s="40" t="inlineStr">
        <is>
          <t>p.31 CE / Europe market marking</t>
        </is>
      </c>
      <c r="F38" s="41">
        <f>IF(AND(C38&amp;""=Original_Data!C38&amp;"",D38&amp;""=Original_Data!D38&amp;""),"Auto","Edited")</f>
        <v/>
      </c>
    </row>
    <row r="39">
      <c r="A39" s="36" t="inlineStr">
        <is>
          <t>weight</t>
        </is>
      </c>
      <c r="B39" s="37" t="inlineStr">
        <is>
          <t>Weight</t>
        </is>
      </c>
      <c r="C39" s="38" t="inlineStr">
        <is>
          <t>33 (gear unit only; motor mass not tabulated)</t>
        </is>
      </c>
      <c r="D39" s="39" t="inlineStr">
        <is>
          <t>kgs</t>
        </is>
      </c>
      <c r="E39" s="40" t="inlineStr">
        <is>
          <t>Selection tables Mass * kgs — gear unit WITHOUT motor (footnote)</t>
        </is>
      </c>
      <c r="F39" s="41">
        <f>IF(AND(C39&amp;""=Original_Data!C39&amp;"",D39&amp;""=Original_Data!D39&amp;""),"Auto","Edited")</f>
        <v/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38" t="inlineStr"/>
      <c r="D40" s="39" t="inlineStr"/>
      <c r="E40" s="40" t="inlineStr">
        <is>
          <t>Blank in DS example unless option selected</t>
        </is>
      </c>
      <c r="F40" s="41">
        <f>IF(AND(C40&amp;""=Original_Data!C40&amp;"",D40&amp;""=Original_Data!D40&amp;""),"Auto","Edited")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42" t="inlineStr">
        <is>
          <t>GEARBOX RF 042 - IEC 90 B5 1: 36.53 - MOUNTING POSITION M1 - OUTPUT FLANGE D160 + SMX IEC 90 B5</t>
        </is>
      </c>
      <c r="D5" s="36" t="inlineStr"/>
      <c r="E5" s="40" t="inlineStr">
        <is>
          <t>DS-021-0046</t>
        </is>
      </c>
      <c r="F5" s="41" t="inlineStr">
        <is>
          <t>Auto</t>
        </is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42" t="inlineStr">
        <is>
          <t>Parallel Helical Gear Motors (RF Series) + AC motors SMX.. (IE3)</t>
        </is>
      </c>
      <c r="D6" s="36" t="inlineStr"/>
      <c r="E6" s="40" t="inlineStr">
        <is>
          <t>DS-021-0046</t>
        </is>
      </c>
      <c r="F6" s="41" t="inlineStr">
        <is>
          <t>Auto</t>
        </is>
      </c>
    </row>
    <row r="7">
      <c r="A7" s="36" t="inlineStr">
        <is>
          <t>document_id</t>
        </is>
      </c>
      <c r="B7" s="37" t="inlineStr">
        <is>
          <t>Document number</t>
        </is>
      </c>
      <c r="C7" s="42" t="inlineStr">
        <is>
          <t>DS-021-0046</t>
        </is>
      </c>
      <c r="D7" s="36" t="inlineStr"/>
      <c r="E7" s="40" t="inlineStr">
        <is>
          <t>DS-021-0046</t>
        </is>
      </c>
      <c r="F7" s="41" t="inlineStr">
        <is>
          <t>Auto</t>
        </is>
      </c>
    </row>
    <row r="8">
      <c r="A8" s="36" t="inlineStr">
        <is>
          <t>disclaimer</t>
        </is>
      </c>
      <c r="B8" s="37" t="inlineStr">
        <is>
          <t>Disclaimer</t>
        </is>
      </c>
      <c r="C8" s="4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6" t="inlineStr"/>
      <c r="E8" s="40" t="inlineStr">
        <is>
          <t>DS-021-0046</t>
        </is>
      </c>
      <c r="F8" s="41" t="inlineStr">
        <is>
          <t>Auto</t>
        </is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42" t="inlineStr">
        <is>
          <t>1.5</t>
        </is>
      </c>
      <c r="D9" s="36" t="inlineStr">
        <is>
          <t>kW</t>
        </is>
      </c>
      <c r="E9" s="40" t="inlineStr">
        <is>
          <t>Selection tables RF pp.37-45 / RK pp.71-78</t>
        </is>
      </c>
      <c r="F9" s="41" t="inlineStr">
        <is>
          <t>Auto</t>
        </is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42" t="inlineStr">
        <is>
          <t>1439.3</t>
        </is>
      </c>
      <c r="D10" s="36" t="inlineStr">
        <is>
          <t>rpm</t>
        </is>
      </c>
      <c r="E10" s="40" t="inlineStr">
        <is>
          <t>Symbols p.11: i = n1/n2 together with tabulated n2 and i</t>
        </is>
      </c>
      <c r="F10" s="41" t="inlineStr">
        <is>
          <t>Auto</t>
        </is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42" t="inlineStr">
        <is>
          <t>36.53</t>
        </is>
      </c>
      <c r="D11" s="36" t="inlineStr">
        <is>
          <t>i</t>
        </is>
      </c>
      <c r="E11" s="40" t="inlineStr">
        <is>
          <t>Selection tables column i</t>
        </is>
      </c>
      <c r="F11" s="41" t="inlineStr">
        <is>
          <t>Auto</t>
        </is>
      </c>
    </row>
    <row r="12">
      <c r="A12" s="36" t="inlineStr">
        <is>
          <t>output_speed</t>
        </is>
      </c>
      <c r="B12" s="37" t="inlineStr">
        <is>
          <t>Output speed</t>
        </is>
      </c>
      <c r="C12" s="42" t="inlineStr">
        <is>
          <t>39.4</t>
        </is>
      </c>
      <c r="D12" s="36" t="inlineStr">
        <is>
          <t>rpm</t>
        </is>
      </c>
      <c r="E12" s="40" t="inlineStr">
        <is>
          <t>Selection tables column n2</t>
        </is>
      </c>
      <c r="F12" s="41" t="inlineStr">
        <is>
          <t>Auto</t>
        </is>
      </c>
    </row>
    <row r="13">
      <c r="A13" s="36" t="inlineStr">
        <is>
          <t>output_torque</t>
        </is>
      </c>
      <c r="B13" s="37" t="inlineStr">
        <is>
          <t>Output torque</t>
        </is>
      </c>
      <c r="C13" s="42" t="inlineStr">
        <is>
          <t>349</t>
        </is>
      </c>
      <c r="D13" s="36" t="inlineStr">
        <is>
          <t>Nm</t>
        </is>
      </c>
      <c r="E13" s="40" t="inlineStr">
        <is>
          <t>Selection tables column M2</t>
        </is>
      </c>
      <c r="F13" s="41" t="inlineStr">
        <is>
          <t>Auto</t>
        </is>
      </c>
    </row>
    <row r="14">
      <c r="A14" s="36" t="inlineStr">
        <is>
          <t>service_factor</t>
        </is>
      </c>
      <c r="B14" s="37" t="inlineStr">
        <is>
          <t>Service factor</t>
        </is>
      </c>
      <c r="C14" s="42" t="inlineStr">
        <is>
          <t>1.1</t>
        </is>
      </c>
      <c r="D14" s="36" t="inlineStr"/>
      <c r="E14" s="40" t="inlineStr">
        <is>
          <t>Selection tables column FS</t>
        </is>
      </c>
      <c r="F14" s="41" t="inlineStr">
        <is>
          <t>Auto</t>
        </is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42" t="inlineStr">
        <is>
          <t>Hollow with keyway</t>
        </is>
      </c>
      <c r="D15" s="36" t="inlineStr"/>
      <c r="E15" s="40" t="inlineStr">
        <is>
          <t>Designation p.16: AC / AS / AD / ACC</t>
        </is>
      </c>
      <c r="F15" s="41" t="inlineStr">
        <is>
          <t>Auto</t>
        </is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42" t="inlineStr">
        <is>
          <t>ø35H7</t>
        </is>
      </c>
      <c r="D16" s="36" t="inlineStr">
        <is>
          <t>mm</t>
        </is>
      </c>
      <c r="E16" s="40" t="inlineStr">
        <is>
          <t>p.14-15 D; p.65/95 ACC; p.94 RK AS</t>
        </is>
      </c>
      <c r="F16" s="41" t="inlineStr">
        <is>
          <t>Auto</t>
        </is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42" t="inlineStr">
        <is>
          <t>6400</t>
        </is>
      </c>
      <c r="D17" s="36" t="inlineStr">
        <is>
          <t>N</t>
        </is>
      </c>
      <c r="E17" s="40" t="inlineStr">
        <is>
          <t>Selection tables column Fr2</t>
        </is>
      </c>
      <c r="F17" s="41" t="inlineStr">
        <is>
          <t>Auto</t>
        </is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42" t="inlineStr">
        <is>
          <t>Bi-directional</t>
        </is>
      </c>
      <c r="D18" s="36" t="inlineStr"/>
      <c r="E18" s="40" t="inlineStr">
        <is>
          <t>p.96 Output Direction of Rotation with Backstop</t>
        </is>
      </c>
      <c r="F18" s="41" t="inlineStr">
        <is>
          <t>Auto</t>
        </is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42" t="inlineStr">
        <is>
          <t>M1</t>
        </is>
      </c>
      <c r="D19" s="36" t="inlineStr"/>
      <c r="E19" s="40" t="inlineStr">
        <is>
          <t>pp.18-19 M1-M6</t>
        </is>
      </c>
      <c r="F19" s="41" t="inlineStr">
        <is>
          <t>Auto</t>
        </is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42" t="inlineStr">
        <is>
          <t>160</t>
        </is>
      </c>
      <c r="D20" s="36" t="inlineStr">
        <is>
          <t>mm</t>
        </is>
      </c>
      <c r="E20" s="40" t="inlineStr">
        <is>
          <t>p.14-15 output flange P (mm)</t>
        </is>
      </c>
      <c r="F20" s="41" t="inlineStr">
        <is>
          <t>Auto</t>
        </is>
      </c>
    </row>
    <row r="21">
      <c r="A21" s="36" t="inlineStr">
        <is>
          <t>lubricant_type</t>
        </is>
      </c>
      <c r="B21" s="37" t="inlineStr">
        <is>
          <t>Lubricant type</t>
        </is>
      </c>
      <c r="C21" s="42" t="inlineStr">
        <is>
          <t>ISO VG 320</t>
        </is>
      </c>
      <c r="D21" s="36" t="inlineStr"/>
      <c r="E21" s="40" t="inlineStr">
        <is>
          <t>p.13 Grade ISO VG 320; p.22 oil type table</t>
        </is>
      </c>
      <c r="F21" s="41" t="inlineStr">
        <is>
          <t>Auto</t>
        </is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42" t="inlineStr">
        <is>
          <t>2</t>
        </is>
      </c>
      <c r="D22" s="36" t="inlineStr">
        <is>
          <t>Litres</t>
        </is>
      </c>
      <c r="E22" s="40" t="inlineStr">
        <is>
          <t>pp.18-19 oil quantity by size and M1-M6</t>
        </is>
      </c>
      <c r="F22" s="41" t="inlineStr">
        <is>
          <t>Auto</t>
        </is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42" t="inlineStr">
        <is>
          <t>KP1</t>
        </is>
      </c>
      <c r="D23" s="36" t="inlineStr"/>
      <c r="E23" s="40" t="inlineStr">
        <is>
          <t>p.17 designation X3 terminal box; DS diagram KP1-KP4</t>
        </is>
      </c>
      <c r="F23" s="41" t="inlineStr">
        <is>
          <t>Auto</t>
        </is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42" t="inlineStr">
        <is>
          <t>A</t>
        </is>
      </c>
      <c r="D24" s="36" t="inlineStr"/>
      <c r="E24" s="40" t="inlineStr">
        <is>
          <t>DS diagram A; catalogue terminal-box options</t>
        </is>
      </c>
      <c r="F24" s="41" t="inlineStr">
        <is>
          <t>Auto</t>
        </is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42" t="inlineStr">
        <is>
          <t>Required value not found in catalogue.</t>
        </is>
      </c>
      <c r="D25" s="36" t="inlineStr"/>
      <c r="E25" s="40" t="inlineStr">
        <is>
          <t>NOT IDENTIFIED in RF-RK catalogue (painting note p.98 only)</t>
        </is>
      </c>
      <c r="F25" s="41" t="inlineStr">
        <is>
          <t>Auto</t>
        </is>
      </c>
    </row>
    <row r="26">
      <c r="A26" s="36" t="inlineStr">
        <is>
          <t>motor_type</t>
        </is>
      </c>
      <c r="B26" s="37" t="inlineStr">
        <is>
          <t>Motor type</t>
        </is>
      </c>
      <c r="C26" s="42" t="inlineStr">
        <is>
          <t>Standard</t>
        </is>
      </c>
      <c r="D26" s="36" t="inlineStr"/>
      <c r="E26" s="40" t="inlineStr">
        <is>
          <t>p.28 BAX brake / SMX standard</t>
        </is>
      </c>
      <c r="F26" s="41" t="inlineStr">
        <is>
          <t>Auto</t>
        </is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42" t="inlineStr">
        <is>
          <t>4</t>
        </is>
      </c>
      <c r="D27" s="36" t="inlineStr">
        <is>
          <t>nos</t>
        </is>
      </c>
      <c r="E27" s="40" t="inlineStr">
        <is>
          <t>Gearmotor tables use n2 consistent with 4-pole ~1440 rpm (50 Hz)</t>
        </is>
      </c>
      <c r="F27" s="41" t="inlineStr">
        <is>
          <t>Auto</t>
        </is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42" t="inlineStr">
        <is>
          <t>S1-100</t>
        </is>
      </c>
      <c r="D28" s="36" t="inlineStr">
        <is>
          <t>%</t>
        </is>
      </c>
      <c r="E28" s="40" t="inlineStr">
        <is>
          <t>p.28-29 continuous duty S1</t>
        </is>
      </c>
      <c r="F28" s="41" t="inlineStr">
        <is>
          <t>Auto</t>
        </is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42" t="inlineStr">
        <is>
          <t>IE3</t>
        </is>
      </c>
      <c r="D29" s="36" t="inlineStr"/>
      <c r="E29" s="40" t="inlineStr">
        <is>
          <t>p.13 / p.28 IE2 / IE3; constructive features list IE3, IE2</t>
        </is>
      </c>
      <c r="F29" s="41" t="inlineStr">
        <is>
          <t>Auto</t>
        </is>
      </c>
    </row>
    <row r="30">
      <c r="A30" s="36" t="inlineStr">
        <is>
          <t>efficiency</t>
        </is>
      </c>
      <c r="B30" s="37" t="inlineStr">
        <is>
          <t>Efficiency</t>
        </is>
      </c>
      <c r="C30" s="42" t="inlineStr">
        <is>
          <t>Required value not found in catalogue.</t>
        </is>
      </c>
      <c r="D30" s="36" t="inlineStr">
        <is>
          <t>%</t>
        </is>
      </c>
      <c r="E30" s="40" t="inlineStr">
        <is>
          <t>NOT IDENTIFIED — no η% motor table in RF-RK catalogue</t>
        </is>
      </c>
      <c r="F30" s="41" t="inlineStr">
        <is>
          <t>Auto</t>
        </is>
      </c>
    </row>
    <row r="31">
      <c r="A31" s="36" t="inlineStr">
        <is>
          <t>ce_marking</t>
        </is>
      </c>
      <c r="B31" s="37" t="inlineStr">
        <is>
          <t>CE Marking</t>
        </is>
      </c>
      <c r="C31" s="42" t="inlineStr">
        <is>
          <t>Yes</t>
        </is>
      </c>
      <c r="D31" s="36" t="inlineStr"/>
      <c r="E31" s="40" t="inlineStr">
        <is>
          <t>p.31 CE Mark</t>
        </is>
      </c>
      <c r="F31" s="41" t="inlineStr">
        <is>
          <t>Auto</t>
        </is>
      </c>
    </row>
    <row r="32">
      <c r="A32" s="36" t="inlineStr">
        <is>
          <t>motor_voltage</t>
        </is>
      </c>
      <c r="B32" s="37" t="inlineStr">
        <is>
          <t>Motor voltage</t>
        </is>
      </c>
      <c r="C32" s="42" t="inlineStr">
        <is>
          <t>240 / 415</t>
        </is>
      </c>
      <c r="D32" s="36" t="inlineStr">
        <is>
          <t>V</t>
        </is>
      </c>
      <c r="E32" s="40" t="inlineStr">
        <is>
          <t>p.28 Δ 240 V Y 415 V</t>
        </is>
      </c>
      <c r="F32" s="41" t="inlineStr">
        <is>
          <t>Auto</t>
        </is>
      </c>
    </row>
    <row r="33">
      <c r="A33" s="36" t="inlineStr">
        <is>
          <t>frequency</t>
        </is>
      </c>
      <c r="B33" s="37" t="inlineStr">
        <is>
          <t>Frequency</t>
        </is>
      </c>
      <c r="C33" s="42" t="inlineStr">
        <is>
          <t>50</t>
        </is>
      </c>
      <c r="D33" s="36" t="inlineStr">
        <is>
          <t>Hz</t>
        </is>
      </c>
      <c r="E33" s="40" t="inlineStr">
        <is>
          <t>p.28 50 Hz</t>
        </is>
      </c>
      <c r="F33" s="41" t="inlineStr">
        <is>
          <t>Auto</t>
        </is>
      </c>
    </row>
    <row r="34">
      <c r="A34" s="36" t="inlineStr">
        <is>
          <t>rated_current</t>
        </is>
      </c>
      <c r="B34" s="37" t="inlineStr">
        <is>
          <t>Rated current</t>
        </is>
      </c>
      <c r="C34" s="42" t="inlineStr">
        <is>
          <t>Required value not found in catalogue.</t>
        </is>
      </c>
      <c r="D34" s="36" t="inlineStr">
        <is>
          <t>A</t>
        </is>
      </c>
      <c r="E34" s="40" t="inlineStr">
        <is>
          <t>NOT IDENTIFIED — no I (A) motor table in RF-RK catalogue</t>
        </is>
      </c>
      <c r="F34" s="41" t="inlineStr">
        <is>
          <t>Auto</t>
        </is>
      </c>
    </row>
    <row r="35">
      <c r="A35" s="36" t="inlineStr">
        <is>
          <t>power_factor</t>
        </is>
      </c>
      <c r="B35" s="37" t="inlineStr">
        <is>
          <t>Power factor</t>
        </is>
      </c>
      <c r="C35" s="42" t="inlineStr">
        <is>
          <t>Required value not found in catalogue.</t>
        </is>
      </c>
      <c r="D35" s="36" t="inlineStr">
        <is>
          <t>Cos ø</t>
        </is>
      </c>
      <c r="E35" s="40" t="inlineStr">
        <is>
          <t>NOT IDENTIFIED — no cos φ motor table in RF-RK catalogue</t>
        </is>
      </c>
      <c r="F35" s="41" t="inlineStr">
        <is>
          <t>Auto</t>
        </is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42" t="inlineStr">
        <is>
          <t>F</t>
        </is>
      </c>
      <c r="D36" s="36" t="inlineStr"/>
      <c r="E36" s="40" t="inlineStr">
        <is>
          <t>p.28 insulation class F</t>
        </is>
      </c>
      <c r="F36" s="41" t="inlineStr">
        <is>
          <t>Auto</t>
        </is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42" t="inlineStr">
        <is>
          <t>IP 55</t>
        </is>
      </c>
      <c r="D37" s="36" t="inlineStr"/>
      <c r="E37" s="40" t="inlineStr">
        <is>
          <t>p.28 IP 55</t>
        </is>
      </c>
      <c r="F37" s="41" t="inlineStr">
        <is>
          <t>Auto</t>
        </is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42" t="inlineStr">
        <is>
          <t>Europe (CE)</t>
        </is>
      </c>
      <c r="D38" s="36" t="inlineStr"/>
      <c r="E38" s="40" t="inlineStr">
        <is>
          <t>p.31 CE / Europe market marking</t>
        </is>
      </c>
      <c r="F38" s="41" t="inlineStr">
        <is>
          <t>Auto</t>
        </is>
      </c>
    </row>
    <row r="39">
      <c r="A39" s="36" t="inlineStr">
        <is>
          <t>weight</t>
        </is>
      </c>
      <c r="B39" s="37" t="inlineStr">
        <is>
          <t>Weight</t>
        </is>
      </c>
      <c r="C39" s="42" t="inlineStr">
        <is>
          <t>33 (gear unit only; motor mass not tabulated)</t>
        </is>
      </c>
      <c r="D39" s="36" t="inlineStr">
        <is>
          <t>kgs</t>
        </is>
      </c>
      <c r="E39" s="40" t="inlineStr">
        <is>
          <t>Selection tables Mass * kgs — gear unit WITHOUT motor (footnote)</t>
        </is>
      </c>
      <c r="F39" s="41" t="inlineStr">
        <is>
          <t>Auto</t>
        </is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42" t="inlineStr"/>
      <c r="D40" s="36" t="inlineStr"/>
      <c r="E40" s="40" t="inlineStr">
        <is>
          <t>Blank in DS example unless option selected</t>
        </is>
      </c>
      <c r="F40" s="41" t="inlineStr">
        <is>
          <t>Auto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40" customWidth="1" min="4" max="4"/>
    <col width="14" customWidth="1" min="5" max="5"/>
    <col width="12" customWidth="1" min="6" max="6"/>
  </cols>
  <sheetData>
    <row r="1">
      <c r="A1" s="33" t="inlineStr">
        <is>
          <t>Change log (Auto vs Edited)</t>
        </is>
      </c>
    </row>
    <row r="2">
      <c r="A2" s="43" t="inlineStr">
        <is>
          <t>This sheet does not appear on the final DS-021-0046 PDF. It is for review only.</t>
        </is>
      </c>
    </row>
    <row r="4">
      <c r="A4" s="44" t="inlineStr">
        <is>
          <t>Field</t>
        </is>
      </c>
      <c r="B4" s="44" t="inlineStr">
        <is>
          <t>Original Value</t>
        </is>
      </c>
      <c r="C4" s="44" t="inlineStr">
        <is>
          <t>Original Unit</t>
        </is>
      </c>
      <c r="D4" s="44" t="inlineStr">
        <is>
          <t>Edited Value</t>
        </is>
      </c>
      <c r="E4" s="44" t="inlineStr">
        <is>
          <t>Edited Unit</t>
        </is>
      </c>
      <c r="F4" s="44" t="inlineStr">
        <is>
          <t>Status</t>
        </is>
      </c>
    </row>
    <row r="5">
      <c r="A5" s="40">
        <f>Editable_Report!B5</f>
        <v/>
      </c>
      <c r="B5" s="40">
        <f>Original_Data!C5</f>
        <v/>
      </c>
      <c r="C5" s="40">
        <f>Original_Data!D5</f>
        <v/>
      </c>
      <c r="D5" s="40">
        <f>Editable_Report!C5</f>
        <v/>
      </c>
      <c r="E5" s="40">
        <f>Editable_Report!D5</f>
        <v/>
      </c>
      <c r="F5" s="45">
        <f>Editable_Report!F5</f>
        <v/>
      </c>
    </row>
    <row r="6">
      <c r="A6" s="40">
        <f>Editable_Report!B6</f>
        <v/>
      </c>
      <c r="B6" s="40">
        <f>Original_Data!C6</f>
        <v/>
      </c>
      <c r="C6" s="40">
        <f>Original_Data!D6</f>
        <v/>
      </c>
      <c r="D6" s="40">
        <f>Editable_Report!C6</f>
        <v/>
      </c>
      <c r="E6" s="40">
        <f>Editable_Report!D6</f>
        <v/>
      </c>
      <c r="F6" s="45">
        <f>Editable_Report!F6</f>
        <v/>
      </c>
    </row>
    <row r="7">
      <c r="A7" s="40">
        <f>Editable_Report!B7</f>
        <v/>
      </c>
      <c r="B7" s="40">
        <f>Original_Data!C7</f>
        <v/>
      </c>
      <c r="C7" s="40">
        <f>Original_Data!D7</f>
        <v/>
      </c>
      <c r="D7" s="40">
        <f>Editable_Report!C7</f>
        <v/>
      </c>
      <c r="E7" s="40">
        <f>Editable_Report!D7</f>
        <v/>
      </c>
      <c r="F7" s="45">
        <f>Editable_Report!F7</f>
        <v/>
      </c>
    </row>
    <row r="8">
      <c r="A8" s="40">
        <f>Editable_Report!B8</f>
        <v/>
      </c>
      <c r="B8" s="40">
        <f>Original_Data!C8</f>
        <v/>
      </c>
      <c r="C8" s="40">
        <f>Original_Data!D8</f>
        <v/>
      </c>
      <c r="D8" s="40">
        <f>Editable_Report!C8</f>
        <v/>
      </c>
      <c r="E8" s="40">
        <f>Editable_Report!D8</f>
        <v/>
      </c>
      <c r="F8" s="45">
        <f>Editable_Report!F8</f>
        <v/>
      </c>
    </row>
    <row r="9">
      <c r="A9" s="40">
        <f>Editable_Report!B9</f>
        <v/>
      </c>
      <c r="B9" s="40">
        <f>Original_Data!C9</f>
        <v/>
      </c>
      <c r="C9" s="40">
        <f>Original_Data!D9</f>
        <v/>
      </c>
      <c r="D9" s="40">
        <f>Editable_Report!C9</f>
        <v/>
      </c>
      <c r="E9" s="40">
        <f>Editable_Report!D9</f>
        <v/>
      </c>
      <c r="F9" s="45">
        <f>Editable_Report!F9</f>
        <v/>
      </c>
    </row>
    <row r="10">
      <c r="A10" s="40">
        <f>Editable_Report!B10</f>
        <v/>
      </c>
      <c r="B10" s="40">
        <f>Original_Data!C10</f>
        <v/>
      </c>
      <c r="C10" s="40">
        <f>Original_Data!D10</f>
        <v/>
      </c>
      <c r="D10" s="40">
        <f>Editable_Report!C10</f>
        <v/>
      </c>
      <c r="E10" s="40">
        <f>Editable_Report!D10</f>
        <v/>
      </c>
      <c r="F10" s="45">
        <f>Editable_Report!F10</f>
        <v/>
      </c>
    </row>
    <row r="11">
      <c r="A11" s="40">
        <f>Editable_Report!B11</f>
        <v/>
      </c>
      <c r="B11" s="40">
        <f>Original_Data!C11</f>
        <v/>
      </c>
      <c r="C11" s="40">
        <f>Original_Data!D11</f>
        <v/>
      </c>
      <c r="D11" s="40">
        <f>Editable_Report!C11</f>
        <v/>
      </c>
      <c r="E11" s="40">
        <f>Editable_Report!D11</f>
        <v/>
      </c>
      <c r="F11" s="45">
        <f>Editable_Report!F11</f>
        <v/>
      </c>
    </row>
    <row r="12">
      <c r="A12" s="40">
        <f>Editable_Report!B12</f>
        <v/>
      </c>
      <c r="B12" s="40">
        <f>Original_Data!C12</f>
        <v/>
      </c>
      <c r="C12" s="40">
        <f>Original_Data!D12</f>
        <v/>
      </c>
      <c r="D12" s="40">
        <f>Editable_Report!C12</f>
        <v/>
      </c>
      <c r="E12" s="40">
        <f>Editable_Report!D12</f>
        <v/>
      </c>
      <c r="F12" s="45">
        <f>Editable_Report!F12</f>
        <v/>
      </c>
    </row>
    <row r="13">
      <c r="A13" s="40">
        <f>Editable_Report!B13</f>
        <v/>
      </c>
      <c r="B13" s="40">
        <f>Original_Data!C13</f>
        <v/>
      </c>
      <c r="C13" s="40">
        <f>Original_Data!D13</f>
        <v/>
      </c>
      <c r="D13" s="40">
        <f>Editable_Report!C13</f>
        <v/>
      </c>
      <c r="E13" s="40">
        <f>Editable_Report!D13</f>
        <v/>
      </c>
      <c r="F13" s="45">
        <f>Editable_Report!F13</f>
        <v/>
      </c>
    </row>
    <row r="14">
      <c r="A14" s="40">
        <f>Editable_Report!B14</f>
        <v/>
      </c>
      <c r="B14" s="40">
        <f>Original_Data!C14</f>
        <v/>
      </c>
      <c r="C14" s="40">
        <f>Original_Data!D14</f>
        <v/>
      </c>
      <c r="D14" s="40">
        <f>Editable_Report!C14</f>
        <v/>
      </c>
      <c r="E14" s="40">
        <f>Editable_Report!D14</f>
        <v/>
      </c>
      <c r="F14" s="45">
        <f>Editable_Report!F14</f>
        <v/>
      </c>
    </row>
    <row r="15">
      <c r="A15" s="40">
        <f>Editable_Report!B15</f>
        <v/>
      </c>
      <c r="B15" s="40">
        <f>Original_Data!C15</f>
        <v/>
      </c>
      <c r="C15" s="40">
        <f>Original_Data!D15</f>
        <v/>
      </c>
      <c r="D15" s="40">
        <f>Editable_Report!C15</f>
        <v/>
      </c>
      <c r="E15" s="40">
        <f>Editable_Report!D15</f>
        <v/>
      </c>
      <c r="F15" s="45">
        <f>Editable_Report!F15</f>
        <v/>
      </c>
    </row>
    <row r="16">
      <c r="A16" s="40">
        <f>Editable_Report!B16</f>
        <v/>
      </c>
      <c r="B16" s="40">
        <f>Original_Data!C16</f>
        <v/>
      </c>
      <c r="C16" s="40">
        <f>Original_Data!D16</f>
        <v/>
      </c>
      <c r="D16" s="40">
        <f>Editable_Report!C16</f>
        <v/>
      </c>
      <c r="E16" s="40">
        <f>Editable_Report!D16</f>
        <v/>
      </c>
      <c r="F16" s="45">
        <f>Editable_Report!F16</f>
        <v/>
      </c>
    </row>
    <row r="17">
      <c r="A17" s="40">
        <f>Editable_Report!B17</f>
        <v/>
      </c>
      <c r="B17" s="40">
        <f>Original_Data!C17</f>
        <v/>
      </c>
      <c r="C17" s="40">
        <f>Original_Data!D17</f>
        <v/>
      </c>
      <c r="D17" s="40">
        <f>Editable_Report!C17</f>
        <v/>
      </c>
      <c r="E17" s="40">
        <f>Editable_Report!D17</f>
        <v/>
      </c>
      <c r="F17" s="45">
        <f>Editable_Report!F17</f>
        <v/>
      </c>
    </row>
    <row r="18">
      <c r="A18" s="40">
        <f>Editable_Report!B18</f>
        <v/>
      </c>
      <c r="B18" s="40">
        <f>Original_Data!C18</f>
        <v/>
      </c>
      <c r="C18" s="40">
        <f>Original_Data!D18</f>
        <v/>
      </c>
      <c r="D18" s="40">
        <f>Editable_Report!C18</f>
        <v/>
      </c>
      <c r="E18" s="40">
        <f>Editable_Report!D18</f>
        <v/>
      </c>
      <c r="F18" s="45">
        <f>Editable_Report!F18</f>
        <v/>
      </c>
    </row>
    <row r="19">
      <c r="A19" s="40">
        <f>Editable_Report!B19</f>
        <v/>
      </c>
      <c r="B19" s="40">
        <f>Original_Data!C19</f>
        <v/>
      </c>
      <c r="C19" s="40">
        <f>Original_Data!D19</f>
        <v/>
      </c>
      <c r="D19" s="40">
        <f>Editable_Report!C19</f>
        <v/>
      </c>
      <c r="E19" s="40">
        <f>Editable_Report!D19</f>
        <v/>
      </c>
      <c r="F19" s="45">
        <f>Editable_Report!F19</f>
        <v/>
      </c>
    </row>
    <row r="20">
      <c r="A20" s="40">
        <f>Editable_Report!B20</f>
        <v/>
      </c>
      <c r="B20" s="40">
        <f>Original_Data!C20</f>
        <v/>
      </c>
      <c r="C20" s="40">
        <f>Original_Data!D20</f>
        <v/>
      </c>
      <c r="D20" s="40">
        <f>Editable_Report!C20</f>
        <v/>
      </c>
      <c r="E20" s="40">
        <f>Editable_Report!D20</f>
        <v/>
      </c>
      <c r="F20" s="45">
        <f>Editable_Report!F20</f>
        <v/>
      </c>
    </row>
    <row r="21">
      <c r="A21" s="40">
        <f>Editable_Report!B21</f>
        <v/>
      </c>
      <c r="B21" s="40">
        <f>Original_Data!C21</f>
        <v/>
      </c>
      <c r="C21" s="40">
        <f>Original_Data!D21</f>
        <v/>
      </c>
      <c r="D21" s="40">
        <f>Editable_Report!C21</f>
        <v/>
      </c>
      <c r="E21" s="40">
        <f>Editable_Report!D21</f>
        <v/>
      </c>
      <c r="F21" s="45">
        <f>Editable_Report!F21</f>
        <v/>
      </c>
    </row>
    <row r="22">
      <c r="A22" s="40">
        <f>Editable_Report!B22</f>
        <v/>
      </c>
      <c r="B22" s="40">
        <f>Original_Data!C22</f>
        <v/>
      </c>
      <c r="C22" s="40">
        <f>Original_Data!D22</f>
        <v/>
      </c>
      <c r="D22" s="40">
        <f>Editable_Report!C22</f>
        <v/>
      </c>
      <c r="E22" s="40">
        <f>Editable_Report!D22</f>
        <v/>
      </c>
      <c r="F22" s="45">
        <f>Editable_Report!F22</f>
        <v/>
      </c>
    </row>
    <row r="23">
      <c r="A23" s="40">
        <f>Editable_Report!B23</f>
        <v/>
      </c>
      <c r="B23" s="40">
        <f>Original_Data!C23</f>
        <v/>
      </c>
      <c r="C23" s="40">
        <f>Original_Data!D23</f>
        <v/>
      </c>
      <c r="D23" s="40">
        <f>Editable_Report!C23</f>
        <v/>
      </c>
      <c r="E23" s="40">
        <f>Editable_Report!D23</f>
        <v/>
      </c>
      <c r="F23" s="45">
        <f>Editable_Report!F23</f>
        <v/>
      </c>
    </row>
    <row r="24">
      <c r="A24" s="40">
        <f>Editable_Report!B24</f>
        <v/>
      </c>
      <c r="B24" s="40">
        <f>Original_Data!C24</f>
        <v/>
      </c>
      <c r="C24" s="40">
        <f>Original_Data!D24</f>
        <v/>
      </c>
      <c r="D24" s="40">
        <f>Editable_Report!C24</f>
        <v/>
      </c>
      <c r="E24" s="40">
        <f>Editable_Report!D24</f>
        <v/>
      </c>
      <c r="F24" s="45">
        <f>Editable_Report!F24</f>
        <v/>
      </c>
    </row>
    <row r="25">
      <c r="A25" s="40">
        <f>Editable_Report!B25</f>
        <v/>
      </c>
      <c r="B25" s="40">
        <f>Original_Data!C25</f>
        <v/>
      </c>
      <c r="C25" s="40">
        <f>Original_Data!D25</f>
        <v/>
      </c>
      <c r="D25" s="40">
        <f>Editable_Report!C25</f>
        <v/>
      </c>
      <c r="E25" s="40">
        <f>Editable_Report!D25</f>
        <v/>
      </c>
      <c r="F25" s="45">
        <f>Editable_Report!F25</f>
        <v/>
      </c>
    </row>
    <row r="26">
      <c r="A26" s="40">
        <f>Editable_Report!B26</f>
        <v/>
      </c>
      <c r="B26" s="40">
        <f>Original_Data!C26</f>
        <v/>
      </c>
      <c r="C26" s="40">
        <f>Original_Data!D26</f>
        <v/>
      </c>
      <c r="D26" s="40">
        <f>Editable_Report!C26</f>
        <v/>
      </c>
      <c r="E26" s="40">
        <f>Editable_Report!D26</f>
        <v/>
      </c>
      <c r="F26" s="45">
        <f>Editable_Report!F26</f>
        <v/>
      </c>
    </row>
    <row r="27">
      <c r="A27" s="40">
        <f>Editable_Report!B27</f>
        <v/>
      </c>
      <c r="B27" s="40">
        <f>Original_Data!C27</f>
        <v/>
      </c>
      <c r="C27" s="40">
        <f>Original_Data!D27</f>
        <v/>
      </c>
      <c r="D27" s="40">
        <f>Editable_Report!C27</f>
        <v/>
      </c>
      <c r="E27" s="40">
        <f>Editable_Report!D27</f>
        <v/>
      </c>
      <c r="F27" s="45">
        <f>Editable_Report!F27</f>
        <v/>
      </c>
    </row>
    <row r="28">
      <c r="A28" s="40">
        <f>Editable_Report!B28</f>
        <v/>
      </c>
      <c r="B28" s="40">
        <f>Original_Data!C28</f>
        <v/>
      </c>
      <c r="C28" s="40">
        <f>Original_Data!D28</f>
        <v/>
      </c>
      <c r="D28" s="40">
        <f>Editable_Report!C28</f>
        <v/>
      </c>
      <c r="E28" s="40">
        <f>Editable_Report!D28</f>
        <v/>
      </c>
      <c r="F28" s="45">
        <f>Editable_Report!F28</f>
        <v/>
      </c>
    </row>
    <row r="29">
      <c r="A29" s="40">
        <f>Editable_Report!B29</f>
        <v/>
      </c>
      <c r="B29" s="40">
        <f>Original_Data!C29</f>
        <v/>
      </c>
      <c r="C29" s="40">
        <f>Original_Data!D29</f>
        <v/>
      </c>
      <c r="D29" s="40">
        <f>Editable_Report!C29</f>
        <v/>
      </c>
      <c r="E29" s="40">
        <f>Editable_Report!D29</f>
        <v/>
      </c>
      <c r="F29" s="45">
        <f>Editable_Report!F29</f>
        <v/>
      </c>
    </row>
    <row r="30">
      <c r="A30" s="40">
        <f>Editable_Report!B30</f>
        <v/>
      </c>
      <c r="B30" s="40">
        <f>Original_Data!C30</f>
        <v/>
      </c>
      <c r="C30" s="40">
        <f>Original_Data!D30</f>
        <v/>
      </c>
      <c r="D30" s="40">
        <f>Editable_Report!C30</f>
        <v/>
      </c>
      <c r="E30" s="40">
        <f>Editable_Report!D30</f>
        <v/>
      </c>
      <c r="F30" s="45">
        <f>Editable_Report!F30</f>
        <v/>
      </c>
    </row>
    <row r="31">
      <c r="A31" s="40">
        <f>Editable_Report!B31</f>
        <v/>
      </c>
      <c r="B31" s="40">
        <f>Original_Data!C31</f>
        <v/>
      </c>
      <c r="C31" s="40">
        <f>Original_Data!D31</f>
        <v/>
      </c>
      <c r="D31" s="40">
        <f>Editable_Report!C31</f>
        <v/>
      </c>
      <c r="E31" s="40">
        <f>Editable_Report!D31</f>
        <v/>
      </c>
      <c r="F31" s="45">
        <f>Editable_Report!F31</f>
        <v/>
      </c>
    </row>
    <row r="32">
      <c r="A32" s="40">
        <f>Editable_Report!B32</f>
        <v/>
      </c>
      <c r="B32" s="40">
        <f>Original_Data!C32</f>
        <v/>
      </c>
      <c r="C32" s="40">
        <f>Original_Data!D32</f>
        <v/>
      </c>
      <c r="D32" s="40">
        <f>Editable_Report!C32</f>
        <v/>
      </c>
      <c r="E32" s="40">
        <f>Editable_Report!D32</f>
        <v/>
      </c>
      <c r="F32" s="45">
        <f>Editable_Report!F32</f>
        <v/>
      </c>
    </row>
    <row r="33">
      <c r="A33" s="40">
        <f>Editable_Report!B33</f>
        <v/>
      </c>
      <c r="B33" s="40">
        <f>Original_Data!C33</f>
        <v/>
      </c>
      <c r="C33" s="40">
        <f>Original_Data!D33</f>
        <v/>
      </c>
      <c r="D33" s="40">
        <f>Editable_Report!C33</f>
        <v/>
      </c>
      <c r="E33" s="40">
        <f>Editable_Report!D33</f>
        <v/>
      </c>
      <c r="F33" s="45">
        <f>Editable_Report!F33</f>
        <v/>
      </c>
    </row>
    <row r="34">
      <c r="A34" s="40">
        <f>Editable_Report!B34</f>
        <v/>
      </c>
      <c r="B34" s="40">
        <f>Original_Data!C34</f>
        <v/>
      </c>
      <c r="C34" s="40">
        <f>Original_Data!D34</f>
        <v/>
      </c>
      <c r="D34" s="40">
        <f>Editable_Report!C34</f>
        <v/>
      </c>
      <c r="E34" s="40">
        <f>Editable_Report!D34</f>
        <v/>
      </c>
      <c r="F34" s="45">
        <f>Editable_Report!F34</f>
        <v/>
      </c>
    </row>
    <row r="35">
      <c r="A35" s="40">
        <f>Editable_Report!B35</f>
        <v/>
      </c>
      <c r="B35" s="40">
        <f>Original_Data!C35</f>
        <v/>
      </c>
      <c r="C35" s="40">
        <f>Original_Data!D35</f>
        <v/>
      </c>
      <c r="D35" s="40">
        <f>Editable_Report!C35</f>
        <v/>
      </c>
      <c r="E35" s="40">
        <f>Editable_Report!D35</f>
        <v/>
      </c>
      <c r="F35" s="45">
        <f>Editable_Report!F35</f>
        <v/>
      </c>
    </row>
    <row r="36">
      <c r="A36" s="40">
        <f>Editable_Report!B36</f>
        <v/>
      </c>
      <c r="B36" s="40">
        <f>Original_Data!C36</f>
        <v/>
      </c>
      <c r="C36" s="40">
        <f>Original_Data!D36</f>
        <v/>
      </c>
      <c r="D36" s="40">
        <f>Editable_Report!C36</f>
        <v/>
      </c>
      <c r="E36" s="40">
        <f>Editable_Report!D36</f>
        <v/>
      </c>
      <c r="F36" s="45">
        <f>Editable_Report!F36</f>
        <v/>
      </c>
    </row>
    <row r="37">
      <c r="A37" s="40">
        <f>Editable_Report!B37</f>
        <v/>
      </c>
      <c r="B37" s="40">
        <f>Original_Data!C37</f>
        <v/>
      </c>
      <c r="C37" s="40">
        <f>Original_Data!D37</f>
        <v/>
      </c>
      <c r="D37" s="40">
        <f>Editable_Report!C37</f>
        <v/>
      </c>
      <c r="E37" s="40">
        <f>Editable_Report!D37</f>
        <v/>
      </c>
      <c r="F37" s="45">
        <f>Editable_Report!F37</f>
        <v/>
      </c>
    </row>
    <row r="38">
      <c r="A38" s="40">
        <f>Editable_Report!B38</f>
        <v/>
      </c>
      <c r="B38" s="40">
        <f>Original_Data!C38</f>
        <v/>
      </c>
      <c r="C38" s="40">
        <f>Original_Data!D38</f>
        <v/>
      </c>
      <c r="D38" s="40">
        <f>Editable_Report!C38</f>
        <v/>
      </c>
      <c r="E38" s="40">
        <f>Editable_Report!D38</f>
        <v/>
      </c>
      <c r="F38" s="45">
        <f>Editable_Report!F38</f>
        <v/>
      </c>
    </row>
    <row r="39">
      <c r="A39" s="40">
        <f>Editable_Report!B39</f>
        <v/>
      </c>
      <c r="B39" s="40">
        <f>Original_Data!C39</f>
        <v/>
      </c>
      <c r="C39" s="40">
        <f>Original_Data!D39</f>
        <v/>
      </c>
      <c r="D39" s="40">
        <f>Editable_Report!C39</f>
        <v/>
      </c>
      <c r="E39" s="40">
        <f>Editable_Report!D39</f>
        <v/>
      </c>
      <c r="F39" s="45">
        <f>Editable_Report!F39</f>
        <v/>
      </c>
    </row>
    <row r="40">
      <c r="A40" s="40">
        <f>Editable_Report!B40</f>
        <v/>
      </c>
      <c r="B40" s="40">
        <f>Original_Data!C40</f>
        <v/>
      </c>
      <c r="C40" s="40">
        <f>Original_Data!D40</f>
        <v/>
      </c>
      <c r="D40" s="40">
        <f>Editable_Report!C40</f>
        <v/>
      </c>
      <c r="E40" s="40">
        <f>Editable_Report!D40</f>
        <v/>
      </c>
      <c r="F40" s="45">
        <f>Editable_Report!F40</f>
        <v/>
      </c>
    </row>
  </sheetData>
  <autoFilter ref="A4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3" t="inlineStr">
        <is>
          <t>Source / selection traceability</t>
        </is>
      </c>
    </row>
    <row r="2">
      <c r="A2" s="43" t="inlineStr">
        <is>
          <t>Not included in the final PDF unless DS-021-0046 requires it.</t>
        </is>
      </c>
    </row>
    <row r="4">
      <c r="A4" s="35" t="inlineStr">
        <is>
          <t>Item</t>
        </is>
      </c>
      <c r="B4" s="35" t="inlineStr">
        <is>
          <t>Value</t>
        </is>
      </c>
    </row>
    <row r="5">
      <c r="A5" s="37" t="inlineStr">
        <is>
          <t>Product series</t>
        </is>
      </c>
      <c r="B5" s="46" t="inlineStr">
        <is>
          <t>RF</t>
        </is>
      </c>
    </row>
    <row r="6">
      <c r="A6" s="37" t="inlineStr">
        <is>
          <t>Catalogue model</t>
        </is>
      </c>
      <c r="B6" s="46" t="inlineStr">
        <is>
          <t>RF 042 - IEC 90 B5</t>
        </is>
      </c>
    </row>
    <row r="7">
      <c r="A7" s="37" t="inlineStr">
        <is>
          <t>Catalogue record id</t>
        </is>
      </c>
      <c r="B7" s="46" t="inlineStr">
        <is>
          <t>51</t>
        </is>
      </c>
    </row>
    <row r="8">
      <c r="A8" s="37" t="inlineStr">
        <is>
          <t>Selected power</t>
        </is>
      </c>
      <c r="B8" s="46" t="inlineStr">
        <is>
          <t>1.5</t>
        </is>
      </c>
    </row>
    <row r="9">
      <c r="A9" s="37" t="inlineStr">
        <is>
          <t>Selected ratio</t>
        </is>
      </c>
      <c r="B9" s="46" t="inlineStr">
        <is>
          <t>36.53</t>
        </is>
      </c>
    </row>
    <row r="10">
      <c r="A10" s="37" t="inlineStr">
        <is>
          <t>Catalogue page</t>
        </is>
      </c>
      <c r="B10" s="46" t="inlineStr">
        <is>
          <t>38</t>
        </is>
      </c>
    </row>
    <row r="11">
      <c r="A11" s="37" t="inlineStr">
        <is>
          <t>Catalogue table</t>
        </is>
      </c>
      <c r="B11" s="46" t="inlineStr">
        <is>
          <t>Section 15 - Selection Tables - Parallel Helical Gear Motors (RF)</t>
        </is>
      </c>
    </row>
    <row r="12">
      <c r="A12" s="37" t="inlineStr">
        <is>
          <t>Catalogue reference</t>
        </is>
      </c>
      <c r="B12" s="46" t="inlineStr">
        <is>
          <t>RF-RK Catalogue</t>
        </is>
      </c>
    </row>
    <row r="13">
      <c r="A13" s="37" t="inlineStr">
        <is>
          <t>Output document</t>
        </is>
      </c>
      <c r="B13" s="46" t="inlineStr">
        <is>
          <t>DS-021-0046</t>
        </is>
      </c>
    </row>
    <row r="14">
      <c r="A14" s="37" t="inlineStr">
        <is>
          <t>Generation date/time</t>
        </is>
      </c>
      <c r="B14" s="46" t="inlineStr">
        <is>
          <t>2026-09-25 11:28:43</t>
        </is>
      </c>
    </row>
    <row r="15">
      <c r="A15" s="37" t="inlineStr">
        <is>
          <t>Weight note</t>
        </is>
      </c>
      <c r="B15" s="46" t="inlineStr">
        <is>
          <t>Catalogue mass is gear unit only (without motor). Complete unit weight is not tabulated.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MGM-Varvel Product Selector</dc:creator>
  <dc:title>Product Data DS-021-0046</dc:title>
  <dcterms:created xsi:type="dcterms:W3CDTF">2026-09-25T05:58:42Z</dcterms:created>
  <dcterms:modified xsi:type="dcterms:W3CDTF">2026-09-25T05:58:43Z</dcterms:modified>
</cp:coreProperties>
</file>