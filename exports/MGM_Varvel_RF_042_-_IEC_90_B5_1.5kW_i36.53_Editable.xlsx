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able_Report" sheetId="1" state="visible" r:id="rId1"/>
    <sheet name="Original_Data" sheetId="2" state="visible" r:id="rId2"/>
    <sheet name="Change_Log" sheetId="3" state="visible" r:id="rId3"/>
    <sheet name="Source_Info" sheetId="4" state="visible" r:id="rId4"/>
  </sheets>
  <definedNames>
    <definedName name="_xlnm._FilterDatabase" localSheetId="0" hidden="1">'Editable_Report'!$A$4:$F$40</definedName>
    <definedName name="_xlnm._FilterDatabase" localSheetId="1" hidden="1">'Original_Data'!$A$4:$F$40</definedName>
    <definedName name="_xlnm._FilterDatabase" localSheetId="2" hidden="1">'Change_Log'!$A$4:$F$40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8EEF5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0055A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8AA0B8"/>
      </left>
      <right style="thin">
        <color rgb="008AA0B8"/>
      </right>
      <top style="thin">
        <color rgb="008AA0B8"/>
      </top>
      <bottom style="thin">
        <color rgb="008AA0B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49" fontId="4" fillId="4" borderId="1" applyAlignment="1" applyProtection="1" pivotButton="0" quotePrefix="0" xfId="0">
      <alignment vertical="center" wrapText="1"/>
      <protection locked="0" hidden="0"/>
    </xf>
    <xf numFmtId="49" fontId="4" fillId="0" borderId="1" applyAlignment="1" applyProtection="1" pivotButton="0" quotePrefix="0" xfId="0">
      <alignment vertical="center"/>
      <protection locked="0" hidden="0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49" fontId="4" fillId="4" borderId="1" applyAlignment="1" pivotButton="0" quotePrefix="0" xfId="0">
      <alignment vertical="center" wrapText="1"/>
    </xf>
    <xf numFmtId="0" fontId="2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49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28" customWidth="1" min="1" max="1"/>
    <col width="38" customWidth="1" min="2" max="2"/>
    <col width="55" customWidth="1" min="3" max="3"/>
    <col width="14" customWidth="1" min="4" max="4"/>
    <col width="62" customWidth="1" min="5" max="5"/>
    <col width="12" customWidth="1" min="6" max="6"/>
  </cols>
  <sheetData>
    <row r="1" ht="22" customHeight="1">
      <c r="A1" s="1" t="inlineStr">
        <is>
          <t>MGM-VARVEL  |  DS-021-0046 editable product data</t>
        </is>
      </c>
    </row>
    <row r="2" ht="32" customHeight="1">
      <c r="A2" s="2" t="inlineStr">
        <is>
          <t>Edit Value and Unit only. Status becomes Edited when a cell differs from Original_Data. Do not rename Field labels or delete rows. Original catalogue values are kept on Original_Data.</t>
        </is>
      </c>
    </row>
    <row r="4" ht="20" customHeight="1">
      <c r="A4" s="3" t="inlineStr">
        <is>
          <t>Key</t>
        </is>
      </c>
      <c r="B4" s="3" t="inlineStr">
        <is>
          <t>Field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Source</t>
        </is>
      </c>
      <c r="F4" s="3" t="inlineStr">
        <is>
          <t>Status</t>
        </is>
      </c>
    </row>
    <row r="5">
      <c r="A5" s="4" t="inlineStr">
        <is>
          <t>catalog_designation</t>
        </is>
      </c>
      <c r="B5" s="5" t="inlineStr">
        <is>
          <t>Catalog Designation</t>
        </is>
      </c>
      <c r="C5" s="6" t="inlineStr">
        <is>
          <t>GEARBOX RF 042 - IEC 90 B5 1: 36.53 - MOUNTING POSITION M1 - OUTPUT FLANGE D160 + SMX IEC 90 B5</t>
        </is>
      </c>
      <c r="D5" s="7" t="inlineStr"/>
      <c r="E5" s="8" t="inlineStr">
        <is>
          <t>DS-021-0046</t>
        </is>
      </c>
      <c r="F5" s="9">
        <f>IF(AND(C5&amp;""=Original_Data!C5&amp;"",D5&amp;""=Original_Data!D5&amp;""),"Auto","Edited")</f>
        <v/>
      </c>
    </row>
    <row r="6">
      <c r="A6" s="4" t="inlineStr">
        <is>
          <t>product_family</t>
        </is>
      </c>
      <c r="B6" s="5" t="inlineStr">
        <is>
          <t>Product family line</t>
        </is>
      </c>
      <c r="C6" s="6" t="inlineStr">
        <is>
          <t>Parallel Helical Gear Motors (RF Series) + AC motors SMX.. (IE3)</t>
        </is>
      </c>
      <c r="D6" s="7" t="inlineStr"/>
      <c r="E6" s="8" t="inlineStr">
        <is>
          <t>DS-021-0046</t>
        </is>
      </c>
      <c r="F6" s="9">
        <f>IF(AND(C6&amp;""=Original_Data!C6&amp;"",D6&amp;""=Original_Data!D6&amp;""),"Auto","Edited")</f>
        <v/>
      </c>
    </row>
    <row r="7">
      <c r="A7" s="4" t="inlineStr">
        <is>
          <t>document_id</t>
        </is>
      </c>
      <c r="B7" s="5" t="inlineStr">
        <is>
          <t>Document number</t>
        </is>
      </c>
      <c r="C7" s="6" t="inlineStr">
        <is>
          <t>DS-021-0046</t>
        </is>
      </c>
      <c r="D7" s="7" t="inlineStr"/>
      <c r="E7" s="8" t="inlineStr">
        <is>
          <t>DS-021-0046</t>
        </is>
      </c>
      <c r="F7" s="9">
        <f>IF(AND(C7&amp;""=Original_Data!C7&amp;"",D7&amp;""=Original_Data!D7&amp;""),"Auto","Edited")</f>
        <v/>
      </c>
    </row>
    <row r="8">
      <c r="A8" s="4" t="inlineStr">
        <is>
          <t>disclaimer</t>
        </is>
      </c>
      <c r="B8" s="5" t="inlineStr">
        <is>
          <t>Disclaimer</t>
        </is>
      </c>
      <c r="C8" s="6" t="inlineStr">
        <is>
          <t>The present product information does not represent a quotation in legal terms. Technical data must be confirmed in a final technical verification. This verification is performed when creating the quotation/order.</t>
        </is>
      </c>
      <c r="D8" s="7" t="inlineStr"/>
      <c r="E8" s="8" t="inlineStr">
        <is>
          <t>DS-021-0046</t>
        </is>
      </c>
      <c r="F8" s="9">
        <f>IF(AND(C8&amp;""=Original_Data!C8&amp;"",D8&amp;""=Original_Data!D8&amp;""),"Auto","Edited")</f>
        <v/>
      </c>
    </row>
    <row r="9">
      <c r="A9" s="4" t="inlineStr">
        <is>
          <t>rated_motor_power</t>
        </is>
      </c>
      <c r="B9" s="5" t="inlineStr">
        <is>
          <t>Rated motor power</t>
        </is>
      </c>
      <c r="C9" s="6" t="inlineStr">
        <is>
          <t>1.5</t>
        </is>
      </c>
      <c r="D9" s="7" t="inlineStr">
        <is>
          <t>kW</t>
        </is>
      </c>
      <c r="E9" s="8" t="inlineStr">
        <is>
          <t>Selection tables RF pp.37-45 / RK pp.71-78</t>
        </is>
      </c>
      <c r="F9" s="9">
        <f>IF(AND(C9&amp;""=Original_Data!C9&amp;"",D9&amp;""=Original_Data!D9&amp;""),"Auto","Edited")</f>
        <v/>
      </c>
    </row>
    <row r="10">
      <c r="A10" s="4" t="inlineStr">
        <is>
          <t>rated_motor_speed</t>
        </is>
      </c>
      <c r="B10" s="5" t="inlineStr">
        <is>
          <t>Rated motor speed</t>
        </is>
      </c>
      <c r="C10" s="6" t="inlineStr">
        <is>
          <t>1439.3</t>
        </is>
      </c>
      <c r="D10" s="7" t="inlineStr">
        <is>
          <t>rpm</t>
        </is>
      </c>
      <c r="E10" s="8" t="inlineStr">
        <is>
          <t>Symbols p.11: i = n1/n2 together with tabulated n2 and i</t>
        </is>
      </c>
      <c r="F10" s="9">
        <f>IF(AND(C10&amp;""=Original_Data!C10&amp;"",D10&amp;""=Original_Data!D10&amp;""),"Auto","Edited")</f>
        <v/>
      </c>
    </row>
    <row r="11">
      <c r="A11" s="4" t="inlineStr">
        <is>
          <t>overall_gear_ratio</t>
        </is>
      </c>
      <c r="B11" s="5" t="inlineStr">
        <is>
          <t>Overall gear ratio</t>
        </is>
      </c>
      <c r="C11" s="6" t="inlineStr">
        <is>
          <t>36.53</t>
        </is>
      </c>
      <c r="D11" s="7" t="inlineStr">
        <is>
          <t>i</t>
        </is>
      </c>
      <c r="E11" s="8" t="inlineStr">
        <is>
          <t>Selection tables column i</t>
        </is>
      </c>
      <c r="F11" s="9">
        <f>IF(AND(C11&amp;""=Original_Data!C11&amp;"",D11&amp;""=Original_Data!D11&amp;""),"Auto","Edited")</f>
        <v/>
      </c>
    </row>
    <row r="12">
      <c r="A12" s="4" t="inlineStr">
        <is>
          <t>output_speed</t>
        </is>
      </c>
      <c r="B12" s="5" t="inlineStr">
        <is>
          <t>Output speed</t>
        </is>
      </c>
      <c r="C12" s="6" t="inlineStr">
        <is>
          <t>39.4</t>
        </is>
      </c>
      <c r="D12" s="7" t="inlineStr">
        <is>
          <t>rpm</t>
        </is>
      </c>
      <c r="E12" s="8" t="inlineStr">
        <is>
          <t>Selection tables column n2</t>
        </is>
      </c>
      <c r="F12" s="9">
        <f>IF(AND(C12&amp;""=Original_Data!C12&amp;"",D12&amp;""=Original_Data!D12&amp;""),"Auto","Edited")</f>
        <v/>
      </c>
    </row>
    <row r="13">
      <c r="A13" s="4" t="inlineStr">
        <is>
          <t>output_torque</t>
        </is>
      </c>
      <c r="B13" s="5" t="inlineStr">
        <is>
          <t>Output torque</t>
        </is>
      </c>
      <c r="C13" s="6" t="inlineStr">
        <is>
          <t>349</t>
        </is>
      </c>
      <c r="D13" s="7" t="inlineStr">
        <is>
          <t>Nm</t>
        </is>
      </c>
      <c r="E13" s="8" t="inlineStr">
        <is>
          <t>Selection tables column M2</t>
        </is>
      </c>
      <c r="F13" s="9">
        <f>IF(AND(C13&amp;""=Original_Data!C13&amp;"",D13&amp;""=Original_Data!D13&amp;""),"Auto","Edited")</f>
        <v/>
      </c>
    </row>
    <row r="14">
      <c r="A14" s="4" t="inlineStr">
        <is>
          <t>service_factor</t>
        </is>
      </c>
      <c r="B14" s="5" t="inlineStr">
        <is>
          <t>Service factor</t>
        </is>
      </c>
      <c r="C14" s="6" t="inlineStr">
        <is>
          <t>1.1</t>
        </is>
      </c>
      <c r="D14" s="7" t="inlineStr"/>
      <c r="E14" s="8" t="inlineStr">
        <is>
          <t>Selection tables column FS</t>
        </is>
      </c>
      <c r="F14" s="9">
        <f>IF(AND(C14&amp;""=Original_Data!C14&amp;"",D14&amp;""=Original_Data!D14&amp;""),"Auto","Edited")</f>
        <v/>
      </c>
    </row>
    <row r="15">
      <c r="A15" s="4" t="inlineStr">
        <is>
          <t>output_shaft_type</t>
        </is>
      </c>
      <c r="B15" s="5" t="inlineStr">
        <is>
          <t>Output shaft type</t>
        </is>
      </c>
      <c r="C15" s="6" t="inlineStr">
        <is>
          <t>Hollow with keyway</t>
        </is>
      </c>
      <c r="D15" s="7" t="inlineStr"/>
      <c r="E15" s="8" t="inlineStr">
        <is>
          <t>Designation p.16: AC / AS / AD / ACC</t>
        </is>
      </c>
      <c r="F15" s="9">
        <f>IF(AND(C15&amp;""=Original_Data!C15&amp;"",D15&amp;""=Original_Data!D15&amp;""),"Auto","Edited")</f>
        <v/>
      </c>
    </row>
    <row r="16">
      <c r="A16" s="4" t="inlineStr">
        <is>
          <t>output_shaft_dimensions</t>
        </is>
      </c>
      <c r="B16" s="5" t="inlineStr">
        <is>
          <t>Output shaft dimensions</t>
        </is>
      </c>
      <c r="C16" s="6" t="inlineStr">
        <is>
          <t>ø35H7</t>
        </is>
      </c>
      <c r="D16" s="7" t="inlineStr">
        <is>
          <t>mm</t>
        </is>
      </c>
      <c r="E16" s="8" t="inlineStr">
        <is>
          <t>p.14-15 D; p.65/95 ACC; p.94 RK AS</t>
        </is>
      </c>
      <c r="F16" s="9">
        <f>IF(AND(C16&amp;""=Original_Data!C16&amp;"",D16&amp;""=Original_Data!D16&amp;""),"Auto","Edited")</f>
        <v/>
      </c>
    </row>
    <row r="17">
      <c r="A17" s="4" t="inlineStr">
        <is>
          <t>permitted_output_overhung_load</t>
        </is>
      </c>
      <c r="B17" s="5" t="inlineStr">
        <is>
          <t>Permitted output overhung load</t>
        </is>
      </c>
      <c r="C17" s="6" t="inlineStr">
        <is>
          <t>6400</t>
        </is>
      </c>
      <c r="D17" s="7" t="inlineStr">
        <is>
          <t>N</t>
        </is>
      </c>
      <c r="E17" s="8" t="inlineStr">
        <is>
          <t>Selection tables column Fr2</t>
        </is>
      </c>
      <c r="F17" s="9">
        <f>IF(AND(C17&amp;""=Original_Data!C17&amp;"",D17&amp;""=Original_Data!D17&amp;""),"Auto","Edited")</f>
        <v/>
      </c>
    </row>
    <row r="18">
      <c r="A18" s="4" t="inlineStr">
        <is>
          <t>direction_of_rotation</t>
        </is>
      </c>
      <c r="B18" s="5" t="inlineStr">
        <is>
          <t>Direction of rotation</t>
        </is>
      </c>
      <c r="C18" s="6" t="inlineStr">
        <is>
          <t>Bi-directional</t>
        </is>
      </c>
      <c r="D18" s="7" t="inlineStr"/>
      <c r="E18" s="8" t="inlineStr">
        <is>
          <t>p.96 Output Direction of Rotation with Backstop</t>
        </is>
      </c>
      <c r="F18" s="9">
        <f>IF(AND(C18&amp;""=Original_Data!C18&amp;"",D18&amp;""=Original_Data!D18&amp;""),"Auto","Edited")</f>
        <v/>
      </c>
    </row>
    <row r="19">
      <c r="A19" s="4" t="inlineStr">
        <is>
          <t>mounting_position</t>
        </is>
      </c>
      <c r="B19" s="5" t="inlineStr">
        <is>
          <t>Mounting position</t>
        </is>
      </c>
      <c r="C19" s="6" t="inlineStr">
        <is>
          <t>M1</t>
        </is>
      </c>
      <c r="D19" s="7" t="inlineStr"/>
      <c r="E19" s="8" t="inlineStr">
        <is>
          <t>pp.18-19 M1-M6</t>
        </is>
      </c>
      <c r="F19" s="9">
        <f>IF(AND(C19&amp;""=Original_Data!C19&amp;"",D19&amp;""=Original_Data!D19&amp;""),"Auto","Edited")</f>
        <v/>
      </c>
    </row>
    <row r="20">
      <c r="A20" s="4" t="inlineStr">
        <is>
          <t>flange_diameter</t>
        </is>
      </c>
      <c r="B20" s="5" t="inlineStr">
        <is>
          <t>Flange diamter (If flange mounted)</t>
        </is>
      </c>
      <c r="C20" s="6" t="inlineStr">
        <is>
          <t>160</t>
        </is>
      </c>
      <c r="D20" s="7" t="inlineStr">
        <is>
          <t>mm</t>
        </is>
      </c>
      <c r="E20" s="8" t="inlineStr">
        <is>
          <t>p.14-15 output flange P (mm)</t>
        </is>
      </c>
      <c r="F20" s="9">
        <f>IF(AND(C20&amp;""=Original_Data!C20&amp;"",D20&amp;""=Original_Data!D20&amp;""),"Auto","Edited")</f>
        <v/>
      </c>
    </row>
    <row r="21">
      <c r="A21" s="4" t="inlineStr">
        <is>
          <t>lubricant_type</t>
        </is>
      </c>
      <c r="B21" s="5" t="inlineStr">
        <is>
          <t>Lubricant type</t>
        </is>
      </c>
      <c r="C21" s="6" t="inlineStr">
        <is>
          <t>ISO VG 320</t>
        </is>
      </c>
      <c r="D21" s="7" t="inlineStr"/>
      <c r="E21" s="8" t="inlineStr">
        <is>
          <t>p.13 Grade ISO VG 320; p.22 oil type table</t>
        </is>
      </c>
      <c r="F21" s="9">
        <f>IF(AND(C21&amp;""=Original_Data!C21&amp;"",D21&amp;""=Original_Data!D21&amp;""),"Auto","Edited")</f>
        <v/>
      </c>
    </row>
    <row r="22">
      <c r="A22" s="4" t="inlineStr">
        <is>
          <t>lubricant_quantity</t>
        </is>
      </c>
      <c r="B22" s="5" t="inlineStr">
        <is>
          <t>Lubricant quantity</t>
        </is>
      </c>
      <c r="C22" s="6" t="inlineStr">
        <is>
          <t>2</t>
        </is>
      </c>
      <c r="D22" s="7" t="inlineStr">
        <is>
          <t>Litres</t>
        </is>
      </c>
      <c r="E22" s="8" t="inlineStr">
        <is>
          <t>pp.18-19 oil quantity by size and M1-M6</t>
        </is>
      </c>
      <c r="F22" s="9">
        <f>IF(AND(C22&amp;""=Original_Data!C22&amp;"",D22&amp;""=Original_Data!D22&amp;""),"Auto","Edited")</f>
        <v/>
      </c>
    </row>
    <row r="23">
      <c r="A23" s="4" t="inlineStr">
        <is>
          <t>position_of_terminal_box</t>
        </is>
      </c>
      <c r="B23" s="5" t="inlineStr">
        <is>
          <t>Position of terminal box</t>
        </is>
      </c>
      <c r="C23" s="6" t="inlineStr">
        <is>
          <t>KP1</t>
        </is>
      </c>
      <c r="D23" s="7" t="inlineStr"/>
      <c r="E23" s="8" t="inlineStr">
        <is>
          <t>p.17 designation X3 terminal box; DS diagram KP1-KP4</t>
        </is>
      </c>
      <c r="F23" s="9">
        <f>IF(AND(C23&amp;""=Original_Data!C23&amp;"",D23&amp;""=Original_Data!D23&amp;""),"Auto","Edited")</f>
        <v/>
      </c>
    </row>
    <row r="24">
      <c r="A24" s="4" t="inlineStr">
        <is>
          <t>cable_entry_position</t>
        </is>
      </c>
      <c r="B24" s="5" t="inlineStr">
        <is>
          <t>Cable entry position</t>
        </is>
      </c>
      <c r="C24" s="6" t="inlineStr">
        <is>
          <t>A</t>
        </is>
      </c>
      <c r="D24" s="7" t="inlineStr"/>
      <c r="E24" s="8" t="inlineStr">
        <is>
          <t>DS diagram A; catalogue terminal-box options</t>
        </is>
      </c>
      <c r="F24" s="9">
        <f>IF(AND(C24&amp;""=Original_Data!C24&amp;"",D24&amp;""=Original_Data!D24&amp;""),"Auto","Edited")</f>
        <v/>
      </c>
    </row>
    <row r="25">
      <c r="A25" s="4" t="inlineStr">
        <is>
          <t>finished_paint_colour</t>
        </is>
      </c>
      <c r="B25" s="5" t="inlineStr">
        <is>
          <t>Finished paint colour</t>
        </is>
      </c>
      <c r="C25" s="6" t="inlineStr">
        <is>
          <t>Required value not found in catalogue.</t>
        </is>
      </c>
      <c r="D25" s="7" t="inlineStr"/>
      <c r="E25" s="8" t="inlineStr">
        <is>
          <t>NOT IDENTIFIED in RF-RK catalogue (painting note p.98 only)</t>
        </is>
      </c>
      <c r="F25" s="9">
        <f>IF(AND(C25&amp;""=Original_Data!C25&amp;"",D25&amp;""=Original_Data!D25&amp;""),"Auto","Edited")</f>
        <v/>
      </c>
    </row>
    <row r="26">
      <c r="A26" s="4" t="inlineStr">
        <is>
          <t>motor_type</t>
        </is>
      </c>
      <c r="B26" s="5" t="inlineStr">
        <is>
          <t>Motor type</t>
        </is>
      </c>
      <c r="C26" s="6" t="inlineStr">
        <is>
          <t>Standard</t>
        </is>
      </c>
      <c r="D26" s="7" t="inlineStr"/>
      <c r="E26" s="8" t="inlineStr">
        <is>
          <t>p.28 BAX brake / SMX standard</t>
        </is>
      </c>
      <c r="F26" s="9">
        <f>IF(AND(C26&amp;""=Original_Data!C26&amp;"",D26&amp;""=Original_Data!D26&amp;""),"Auto","Edited")</f>
        <v/>
      </c>
    </row>
    <row r="27">
      <c r="A27" s="4" t="inlineStr">
        <is>
          <t>number_of_poles</t>
        </is>
      </c>
      <c r="B27" s="5" t="inlineStr">
        <is>
          <t>Number of poles</t>
        </is>
      </c>
      <c r="C27" s="6" t="inlineStr">
        <is>
          <t>4</t>
        </is>
      </c>
      <c r="D27" s="7" t="inlineStr">
        <is>
          <t>nos</t>
        </is>
      </c>
      <c r="E27" s="8" t="inlineStr">
        <is>
          <t>Gearmotor tables use n2 consistent with 4-pole ~1440 rpm (50 Hz)</t>
        </is>
      </c>
      <c r="F27" s="9">
        <f>IF(AND(C27&amp;""=Original_Data!C27&amp;"",D27&amp;""=Original_Data!D27&amp;""),"Auto","Edited")</f>
        <v/>
      </c>
    </row>
    <row r="28">
      <c r="A28" s="4" t="inlineStr">
        <is>
          <t>duration_factor</t>
        </is>
      </c>
      <c r="B28" s="5" t="inlineStr">
        <is>
          <t>Duration factor</t>
        </is>
      </c>
      <c r="C28" s="6" t="inlineStr">
        <is>
          <t>S1-100</t>
        </is>
      </c>
      <c r="D28" s="7" t="inlineStr">
        <is>
          <t>%</t>
        </is>
      </c>
      <c r="E28" s="8" t="inlineStr">
        <is>
          <t>p.28-29 continuous duty S1</t>
        </is>
      </c>
      <c r="F28" s="9">
        <f>IF(AND(C28&amp;""=Original_Data!C28&amp;"",D28&amp;""=Original_Data!D28&amp;""),"Auto","Edited")</f>
        <v/>
      </c>
    </row>
    <row r="29">
      <c r="A29" s="4" t="inlineStr">
        <is>
          <t>efficiency_class</t>
        </is>
      </c>
      <c r="B29" s="5" t="inlineStr">
        <is>
          <t>Efficiency class</t>
        </is>
      </c>
      <c r="C29" s="6" t="inlineStr">
        <is>
          <t>IE3</t>
        </is>
      </c>
      <c r="D29" s="7" t="inlineStr"/>
      <c r="E29" s="8" t="inlineStr">
        <is>
          <t>p.13 / p.28 IE2 / IE3; constructive features list IE3, IE2</t>
        </is>
      </c>
      <c r="F29" s="9">
        <f>IF(AND(C29&amp;""=Original_Data!C29&amp;"",D29&amp;""=Original_Data!D29&amp;""),"Auto","Edited")</f>
        <v/>
      </c>
    </row>
    <row r="30">
      <c r="A30" s="4" t="inlineStr">
        <is>
          <t>efficiency</t>
        </is>
      </c>
      <c r="B30" s="5" t="inlineStr">
        <is>
          <t>Efficiency</t>
        </is>
      </c>
      <c r="C30" s="6" t="inlineStr">
        <is>
          <t>Required value not found in catalogue.</t>
        </is>
      </c>
      <c r="D30" s="7" t="inlineStr">
        <is>
          <t>%</t>
        </is>
      </c>
      <c r="E30" s="8" t="inlineStr">
        <is>
          <t>NOT IDENTIFIED — no η% motor table in RF-RK catalogue</t>
        </is>
      </c>
      <c r="F30" s="9">
        <f>IF(AND(C30&amp;""=Original_Data!C30&amp;"",D30&amp;""=Original_Data!D30&amp;""),"Auto","Edited")</f>
        <v/>
      </c>
    </row>
    <row r="31">
      <c r="A31" s="4" t="inlineStr">
        <is>
          <t>ce_marking</t>
        </is>
      </c>
      <c r="B31" s="5" t="inlineStr">
        <is>
          <t>CE Marking</t>
        </is>
      </c>
      <c r="C31" s="6" t="inlineStr">
        <is>
          <t>Yes</t>
        </is>
      </c>
      <c r="D31" s="7" t="inlineStr"/>
      <c r="E31" s="8" t="inlineStr">
        <is>
          <t>p.31 CE Mark</t>
        </is>
      </c>
      <c r="F31" s="9">
        <f>IF(AND(C31&amp;""=Original_Data!C31&amp;"",D31&amp;""=Original_Data!D31&amp;""),"Auto","Edited")</f>
        <v/>
      </c>
    </row>
    <row r="32">
      <c r="A32" s="4" t="inlineStr">
        <is>
          <t>motor_voltage</t>
        </is>
      </c>
      <c r="B32" s="5" t="inlineStr">
        <is>
          <t>Motor voltage</t>
        </is>
      </c>
      <c r="C32" s="6" t="inlineStr">
        <is>
          <t>240 / 415</t>
        </is>
      </c>
      <c r="D32" s="7" t="inlineStr">
        <is>
          <t>V</t>
        </is>
      </c>
      <c r="E32" s="8" t="inlineStr">
        <is>
          <t>p.28 Δ 240 V Y 415 V</t>
        </is>
      </c>
      <c r="F32" s="9">
        <f>IF(AND(C32&amp;""=Original_Data!C32&amp;"",D32&amp;""=Original_Data!D32&amp;""),"Auto","Edited")</f>
        <v/>
      </c>
    </row>
    <row r="33">
      <c r="A33" s="4" t="inlineStr">
        <is>
          <t>frequency</t>
        </is>
      </c>
      <c r="B33" s="5" t="inlineStr">
        <is>
          <t>Frequency</t>
        </is>
      </c>
      <c r="C33" s="6" t="inlineStr">
        <is>
          <t>50</t>
        </is>
      </c>
      <c r="D33" s="7" t="inlineStr">
        <is>
          <t>Hz</t>
        </is>
      </c>
      <c r="E33" s="8" t="inlineStr">
        <is>
          <t>p.28 50 Hz</t>
        </is>
      </c>
      <c r="F33" s="9">
        <f>IF(AND(C33&amp;""=Original_Data!C33&amp;"",D33&amp;""=Original_Data!D33&amp;""),"Auto","Edited")</f>
        <v/>
      </c>
    </row>
    <row r="34">
      <c r="A34" s="4" t="inlineStr">
        <is>
          <t>rated_current</t>
        </is>
      </c>
      <c r="B34" s="5" t="inlineStr">
        <is>
          <t>Rated current</t>
        </is>
      </c>
      <c r="C34" s="6" t="inlineStr">
        <is>
          <t>Required value not found in catalogue.</t>
        </is>
      </c>
      <c r="D34" s="7" t="inlineStr">
        <is>
          <t>A</t>
        </is>
      </c>
      <c r="E34" s="8" t="inlineStr">
        <is>
          <t>NOT IDENTIFIED — no I (A) motor table in RF-RK catalogue</t>
        </is>
      </c>
      <c r="F34" s="9">
        <f>IF(AND(C34&amp;""=Original_Data!C34&amp;"",D34&amp;""=Original_Data!D34&amp;""),"Auto","Edited")</f>
        <v/>
      </c>
    </row>
    <row r="35">
      <c r="A35" s="4" t="inlineStr">
        <is>
          <t>power_factor</t>
        </is>
      </c>
      <c r="B35" s="5" t="inlineStr">
        <is>
          <t>Power factor</t>
        </is>
      </c>
      <c r="C35" s="6" t="inlineStr">
        <is>
          <t>Required value not found in catalogue.</t>
        </is>
      </c>
      <c r="D35" s="7" t="inlineStr">
        <is>
          <t>Cos ø</t>
        </is>
      </c>
      <c r="E35" s="8" t="inlineStr">
        <is>
          <t>NOT IDENTIFIED — no cos φ motor table in RF-RK catalogue</t>
        </is>
      </c>
      <c r="F35" s="9">
        <f>IF(AND(C35&amp;""=Original_Data!C35&amp;"",D35&amp;""=Original_Data!D35&amp;""),"Auto","Edited")</f>
        <v/>
      </c>
    </row>
    <row r="36">
      <c r="A36" s="4" t="inlineStr">
        <is>
          <t>insulation_class</t>
        </is>
      </c>
      <c r="B36" s="5" t="inlineStr">
        <is>
          <t>Insulation class</t>
        </is>
      </c>
      <c r="C36" s="6" t="inlineStr">
        <is>
          <t>F</t>
        </is>
      </c>
      <c r="D36" s="7" t="inlineStr"/>
      <c r="E36" s="8" t="inlineStr">
        <is>
          <t>p.28 insulation class F</t>
        </is>
      </c>
      <c r="F36" s="9">
        <f>IF(AND(C36&amp;""=Original_Data!C36&amp;"",D36&amp;""=Original_Data!D36&amp;""),"Auto","Edited")</f>
        <v/>
      </c>
    </row>
    <row r="37">
      <c r="A37" s="4" t="inlineStr">
        <is>
          <t>protection_class</t>
        </is>
      </c>
      <c r="B37" s="5" t="inlineStr">
        <is>
          <t>Protection class</t>
        </is>
      </c>
      <c r="C37" s="6" t="inlineStr">
        <is>
          <t>IP 55</t>
        </is>
      </c>
      <c r="D37" s="7" t="inlineStr"/>
      <c r="E37" s="8" t="inlineStr">
        <is>
          <t>p.28 IP 55</t>
        </is>
      </c>
      <c r="F37" s="9">
        <f>IF(AND(C37&amp;""=Original_Data!C37&amp;"",D37&amp;""=Original_Data!D37&amp;""),"Auto","Edited")</f>
        <v/>
      </c>
    </row>
    <row r="38">
      <c r="A38" s="4" t="inlineStr">
        <is>
          <t>design_requirement</t>
        </is>
      </c>
      <c r="B38" s="5" t="inlineStr">
        <is>
          <t>Design requirement</t>
        </is>
      </c>
      <c r="C38" s="6" t="inlineStr">
        <is>
          <t>Europe (CE)</t>
        </is>
      </c>
      <c r="D38" s="7" t="inlineStr"/>
      <c r="E38" s="8" t="inlineStr">
        <is>
          <t>p.31 CE / Europe market marking</t>
        </is>
      </c>
      <c r="F38" s="9">
        <f>IF(AND(C38&amp;""=Original_Data!C38&amp;"",D38&amp;""=Original_Data!D38&amp;""),"Auto","Edited")</f>
        <v/>
      </c>
    </row>
    <row r="39">
      <c r="A39" s="4" t="inlineStr">
        <is>
          <t>weight</t>
        </is>
      </c>
      <c r="B39" s="5" t="inlineStr">
        <is>
          <t>Weight</t>
        </is>
      </c>
      <c r="C39" s="6" t="inlineStr">
        <is>
          <t>33 (gear unit only; motor mass not tabulated)</t>
        </is>
      </c>
      <c r="D39" s="7" t="inlineStr">
        <is>
          <t>kgs</t>
        </is>
      </c>
      <c r="E39" s="8" t="inlineStr">
        <is>
          <t>Selection tables Mass * kgs — gear unit WITHOUT motor (footnote)</t>
        </is>
      </c>
      <c r="F39" s="9">
        <f>IF(AND(C39&amp;""=Original_Data!C39&amp;"",D39&amp;""=Original_Data!D39&amp;""),"Auto","Edited")</f>
        <v/>
      </c>
    </row>
    <row r="40">
      <c r="A40" s="4" t="inlineStr">
        <is>
          <t>additional_features</t>
        </is>
      </c>
      <c r="B40" s="5" t="inlineStr">
        <is>
          <t>Additional Features</t>
        </is>
      </c>
      <c r="C40" s="6" t="inlineStr"/>
      <c r="D40" s="7" t="inlineStr"/>
      <c r="E40" s="8" t="inlineStr">
        <is>
          <t>Blank in DS example unless option selected</t>
        </is>
      </c>
      <c r="F40" s="9">
        <f>IF(AND(C40&amp;""=Original_Data!C40&amp;"",D40&amp;""=Original_Data!D40&amp;""),"Auto","Edited")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autoFilter ref="A4:F40"/>
  <mergeCells count="2">
    <mergeCell ref="A2:F2"/>
    <mergeCell ref="A1:F1"/>
  </mergeCells>
  <dataValidations count="12">
    <dataValidation sqref="C15" showDropDown="0" showInputMessage="1" showErrorMessage="0" allowBlank="1" promptTitle="Catalogue / DS values" prompt="Select a known value, or type a correction." type="list">
      <formula1>"Hollow with keyway,Solid with key,Solid with key (double extended),Hollow with shrink disc"</formula1>
    </dataValidation>
    <dataValidation sqref="C18" showDropDown="0" showInputMessage="1" showErrorMessage="0" allowBlank="1" promptTitle="Catalogue / DS values" prompt="Select a known value, or type a correction." type="list">
      <formula1>"Bi-directional"</formula1>
    </dataValidation>
    <dataValidation sqref="C19" showDropDown="0" showInputMessage="1" showErrorMessage="0" allowBlank="1" promptTitle="Catalogue / DS values" prompt="Select a known value, or type a correction." type="list">
      <formula1>"M1,M2,M3,M4,M5,M6"</formula1>
    </dataValidation>
    <dataValidation sqref="C21" showDropDown="0" showInputMessage="1" showErrorMessage="0" allowBlank="1" promptTitle="Catalogue / DS values" prompt="Select a known value, or type a correction." type="list">
      <formula1>"ISO VG 320"</formula1>
    </dataValidation>
    <dataValidation sqref="C23" showDropDown="0" showInputMessage="1" showErrorMessage="0" allowBlank="1" promptTitle="Catalogue / DS values" prompt="Select a known value, or type a correction." type="list">
      <formula1>"KP1,KP2,KP3,KP4"</formula1>
    </dataValidation>
    <dataValidation sqref="C24" showDropDown="0" showInputMessage="1" showErrorMessage="0" allowBlank="1" promptTitle="Catalogue / DS values" prompt="Select a known value, or type a correction." type="list">
      <formula1>"A,B,C,D"</formula1>
    </dataValidation>
    <dataValidation sqref="C26" showDropDown="0" showInputMessage="1" showErrorMessage="0" allowBlank="1" promptTitle="Catalogue / DS values" prompt="Select a known value, or type a correction." type="list">
      <formula1>"Standard,Brake"</formula1>
    </dataValidation>
    <dataValidation sqref="C29" showDropDown="0" showInputMessage="1" showErrorMessage="0" allowBlank="1" promptTitle="Catalogue / DS values" prompt="Select a known value, or type a correction." type="list">
      <formula1>"IE2,IE3"</formula1>
    </dataValidation>
    <dataValidation sqref="C31" showDropDown="0" showInputMessage="1" showErrorMessage="0" allowBlank="1" promptTitle="Catalogue / DS values" prompt="Select a known value, or type a correction." type="list">
      <formula1>"Yes"</formula1>
    </dataValidation>
    <dataValidation sqref="C36" showDropDown="0" showInputMessage="1" showErrorMessage="0" allowBlank="1" promptTitle="Catalogue / DS values" prompt="Select a known value, or type a correction." type="list">
      <formula1>"F"</formula1>
    </dataValidation>
    <dataValidation sqref="C37" showDropDown="0" showInputMessage="1" showErrorMessage="0" allowBlank="1" promptTitle="Catalogue / DS values" prompt="Select a known value, or type a correction." type="list">
      <formula1>"IP 55"</formula1>
    </dataValidation>
    <dataValidation sqref="C38" showDropDown="0" showInputMessage="1" showErrorMessage="0" allowBlank="1" promptTitle="Catalogue / DS values" prompt="Select a known value, or type a correction." type="list">
      <formula1>"Europe (CE)"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28" customWidth="1" min="1" max="1"/>
    <col width="38" customWidth="1" min="2" max="2"/>
    <col width="55" customWidth="1" min="3" max="3"/>
    <col width="14" customWidth="1" min="4" max="4"/>
    <col width="62" customWidth="1" min="5" max="5"/>
    <col width="12" customWidth="1" min="6" max="6"/>
  </cols>
  <sheetData>
    <row r="1" ht="22" customHeight="1">
      <c r="A1" s="1" t="inlineStr">
        <is>
          <t>MGM-VARVEL  |  DS-021-0046 editable product data</t>
        </is>
      </c>
    </row>
    <row r="2" ht="32" customHeight="1">
      <c r="A2" s="2" t="inlineStr">
        <is>
          <t>Edit Value and Unit only. Status becomes Edited when a cell differs from Original_Data. Do not rename Field labels or delete rows. Original catalogue values are kept on Original_Data.</t>
        </is>
      </c>
    </row>
    <row r="4" ht="20" customHeight="1">
      <c r="A4" s="3" t="inlineStr">
        <is>
          <t>Key</t>
        </is>
      </c>
      <c r="B4" s="3" t="inlineStr">
        <is>
          <t>Field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Source</t>
        </is>
      </c>
      <c r="F4" s="3" t="inlineStr">
        <is>
          <t>Status</t>
        </is>
      </c>
    </row>
    <row r="5">
      <c r="A5" s="4" t="inlineStr">
        <is>
          <t>catalog_designation</t>
        </is>
      </c>
      <c r="B5" s="5" t="inlineStr">
        <is>
          <t>Catalog Designation</t>
        </is>
      </c>
      <c r="C5" s="10" t="inlineStr">
        <is>
          <t>GEARBOX RF 042 - IEC 90 B5 1: 36.53 - MOUNTING POSITION M1 - OUTPUT FLANGE D160 + SMX IEC 90 B5</t>
        </is>
      </c>
      <c r="D5" s="4" t="inlineStr"/>
      <c r="E5" s="8" t="inlineStr">
        <is>
          <t>DS-021-0046</t>
        </is>
      </c>
      <c r="F5" s="9" t="inlineStr">
        <is>
          <t>Auto</t>
        </is>
      </c>
    </row>
    <row r="6">
      <c r="A6" s="4" t="inlineStr">
        <is>
          <t>product_family</t>
        </is>
      </c>
      <c r="B6" s="5" t="inlineStr">
        <is>
          <t>Product family line</t>
        </is>
      </c>
      <c r="C6" s="10" t="inlineStr">
        <is>
          <t>Parallel Helical Gear Motors (RF Series) + AC motors SMX.. (IE3)</t>
        </is>
      </c>
      <c r="D6" s="4" t="inlineStr"/>
      <c r="E6" s="8" t="inlineStr">
        <is>
          <t>DS-021-0046</t>
        </is>
      </c>
      <c r="F6" s="9" t="inlineStr">
        <is>
          <t>Auto</t>
        </is>
      </c>
    </row>
    <row r="7">
      <c r="A7" s="4" t="inlineStr">
        <is>
          <t>document_id</t>
        </is>
      </c>
      <c r="B7" s="5" t="inlineStr">
        <is>
          <t>Document number</t>
        </is>
      </c>
      <c r="C7" s="10" t="inlineStr">
        <is>
          <t>DS-021-0046</t>
        </is>
      </c>
      <c r="D7" s="4" t="inlineStr"/>
      <c r="E7" s="8" t="inlineStr">
        <is>
          <t>DS-021-0046</t>
        </is>
      </c>
      <c r="F7" s="9" t="inlineStr">
        <is>
          <t>Auto</t>
        </is>
      </c>
    </row>
    <row r="8">
      <c r="A8" s="4" t="inlineStr">
        <is>
          <t>disclaimer</t>
        </is>
      </c>
      <c r="B8" s="5" t="inlineStr">
        <is>
          <t>Disclaimer</t>
        </is>
      </c>
      <c r="C8" s="10" t="inlineStr">
        <is>
          <t>The present product information does not represent a quotation in legal terms. Technical data must be confirmed in a final technical verification. This verification is performed when creating the quotation/order.</t>
        </is>
      </c>
      <c r="D8" s="4" t="inlineStr"/>
      <c r="E8" s="8" t="inlineStr">
        <is>
          <t>DS-021-0046</t>
        </is>
      </c>
      <c r="F8" s="9" t="inlineStr">
        <is>
          <t>Auto</t>
        </is>
      </c>
    </row>
    <row r="9">
      <c r="A9" s="4" t="inlineStr">
        <is>
          <t>rated_motor_power</t>
        </is>
      </c>
      <c r="B9" s="5" t="inlineStr">
        <is>
          <t>Rated motor power</t>
        </is>
      </c>
      <c r="C9" s="10" t="inlineStr">
        <is>
          <t>1.5</t>
        </is>
      </c>
      <c r="D9" s="4" t="inlineStr">
        <is>
          <t>kW</t>
        </is>
      </c>
      <c r="E9" s="8" t="inlineStr">
        <is>
          <t>Selection tables RF pp.37-45 / RK pp.71-78</t>
        </is>
      </c>
      <c r="F9" s="9" t="inlineStr">
        <is>
          <t>Auto</t>
        </is>
      </c>
    </row>
    <row r="10">
      <c r="A10" s="4" t="inlineStr">
        <is>
          <t>rated_motor_speed</t>
        </is>
      </c>
      <c r="B10" s="5" t="inlineStr">
        <is>
          <t>Rated motor speed</t>
        </is>
      </c>
      <c r="C10" s="10" t="inlineStr">
        <is>
          <t>1439.3</t>
        </is>
      </c>
      <c r="D10" s="4" t="inlineStr">
        <is>
          <t>rpm</t>
        </is>
      </c>
      <c r="E10" s="8" t="inlineStr">
        <is>
          <t>Symbols p.11: i = n1/n2 together with tabulated n2 and i</t>
        </is>
      </c>
      <c r="F10" s="9" t="inlineStr">
        <is>
          <t>Auto</t>
        </is>
      </c>
    </row>
    <row r="11">
      <c r="A11" s="4" t="inlineStr">
        <is>
          <t>overall_gear_ratio</t>
        </is>
      </c>
      <c r="B11" s="5" t="inlineStr">
        <is>
          <t>Overall gear ratio</t>
        </is>
      </c>
      <c r="C11" s="10" t="inlineStr">
        <is>
          <t>36.53</t>
        </is>
      </c>
      <c r="D11" s="4" t="inlineStr">
        <is>
          <t>i</t>
        </is>
      </c>
      <c r="E11" s="8" t="inlineStr">
        <is>
          <t>Selection tables column i</t>
        </is>
      </c>
      <c r="F11" s="9" t="inlineStr">
        <is>
          <t>Auto</t>
        </is>
      </c>
    </row>
    <row r="12">
      <c r="A12" s="4" t="inlineStr">
        <is>
          <t>output_speed</t>
        </is>
      </c>
      <c r="B12" s="5" t="inlineStr">
        <is>
          <t>Output speed</t>
        </is>
      </c>
      <c r="C12" s="10" t="inlineStr">
        <is>
          <t>39.4</t>
        </is>
      </c>
      <c r="D12" s="4" t="inlineStr">
        <is>
          <t>rpm</t>
        </is>
      </c>
      <c r="E12" s="8" t="inlineStr">
        <is>
          <t>Selection tables column n2</t>
        </is>
      </c>
      <c r="F12" s="9" t="inlineStr">
        <is>
          <t>Auto</t>
        </is>
      </c>
    </row>
    <row r="13">
      <c r="A13" s="4" t="inlineStr">
        <is>
          <t>output_torque</t>
        </is>
      </c>
      <c r="B13" s="5" t="inlineStr">
        <is>
          <t>Output torque</t>
        </is>
      </c>
      <c r="C13" s="10" t="inlineStr">
        <is>
          <t>349</t>
        </is>
      </c>
      <c r="D13" s="4" t="inlineStr">
        <is>
          <t>Nm</t>
        </is>
      </c>
      <c r="E13" s="8" t="inlineStr">
        <is>
          <t>Selection tables column M2</t>
        </is>
      </c>
      <c r="F13" s="9" t="inlineStr">
        <is>
          <t>Auto</t>
        </is>
      </c>
    </row>
    <row r="14">
      <c r="A14" s="4" t="inlineStr">
        <is>
          <t>service_factor</t>
        </is>
      </c>
      <c r="B14" s="5" t="inlineStr">
        <is>
          <t>Service factor</t>
        </is>
      </c>
      <c r="C14" s="10" t="inlineStr">
        <is>
          <t>1.1</t>
        </is>
      </c>
      <c r="D14" s="4" t="inlineStr"/>
      <c r="E14" s="8" t="inlineStr">
        <is>
          <t>Selection tables column FS</t>
        </is>
      </c>
      <c r="F14" s="9" t="inlineStr">
        <is>
          <t>Auto</t>
        </is>
      </c>
    </row>
    <row r="15">
      <c r="A15" s="4" t="inlineStr">
        <is>
          <t>output_shaft_type</t>
        </is>
      </c>
      <c r="B15" s="5" t="inlineStr">
        <is>
          <t>Output shaft type</t>
        </is>
      </c>
      <c r="C15" s="10" t="inlineStr">
        <is>
          <t>Hollow with keyway</t>
        </is>
      </c>
      <c r="D15" s="4" t="inlineStr"/>
      <c r="E15" s="8" t="inlineStr">
        <is>
          <t>Designation p.16: AC / AS / AD / ACC</t>
        </is>
      </c>
      <c r="F15" s="9" t="inlineStr">
        <is>
          <t>Auto</t>
        </is>
      </c>
    </row>
    <row r="16">
      <c r="A16" s="4" t="inlineStr">
        <is>
          <t>output_shaft_dimensions</t>
        </is>
      </c>
      <c r="B16" s="5" t="inlineStr">
        <is>
          <t>Output shaft dimensions</t>
        </is>
      </c>
      <c r="C16" s="10" t="inlineStr">
        <is>
          <t>ø35H7</t>
        </is>
      </c>
      <c r="D16" s="4" t="inlineStr">
        <is>
          <t>mm</t>
        </is>
      </c>
      <c r="E16" s="8" t="inlineStr">
        <is>
          <t>p.14-15 D; p.65/95 ACC; p.94 RK AS</t>
        </is>
      </c>
      <c r="F16" s="9" t="inlineStr">
        <is>
          <t>Auto</t>
        </is>
      </c>
    </row>
    <row r="17">
      <c r="A17" s="4" t="inlineStr">
        <is>
          <t>permitted_output_overhung_load</t>
        </is>
      </c>
      <c r="B17" s="5" t="inlineStr">
        <is>
          <t>Permitted output overhung load</t>
        </is>
      </c>
      <c r="C17" s="10" t="inlineStr">
        <is>
          <t>6400</t>
        </is>
      </c>
      <c r="D17" s="4" t="inlineStr">
        <is>
          <t>N</t>
        </is>
      </c>
      <c r="E17" s="8" t="inlineStr">
        <is>
          <t>Selection tables column Fr2</t>
        </is>
      </c>
      <c r="F17" s="9" t="inlineStr">
        <is>
          <t>Auto</t>
        </is>
      </c>
    </row>
    <row r="18">
      <c r="A18" s="4" t="inlineStr">
        <is>
          <t>direction_of_rotation</t>
        </is>
      </c>
      <c r="B18" s="5" t="inlineStr">
        <is>
          <t>Direction of rotation</t>
        </is>
      </c>
      <c r="C18" s="10" t="inlineStr">
        <is>
          <t>Bi-directional</t>
        </is>
      </c>
      <c r="D18" s="4" t="inlineStr"/>
      <c r="E18" s="8" t="inlineStr">
        <is>
          <t>p.96 Output Direction of Rotation with Backstop</t>
        </is>
      </c>
      <c r="F18" s="9" t="inlineStr">
        <is>
          <t>Auto</t>
        </is>
      </c>
    </row>
    <row r="19">
      <c r="A19" s="4" t="inlineStr">
        <is>
          <t>mounting_position</t>
        </is>
      </c>
      <c r="B19" s="5" t="inlineStr">
        <is>
          <t>Mounting position</t>
        </is>
      </c>
      <c r="C19" s="10" t="inlineStr">
        <is>
          <t>M1</t>
        </is>
      </c>
      <c r="D19" s="4" t="inlineStr"/>
      <c r="E19" s="8" t="inlineStr">
        <is>
          <t>pp.18-19 M1-M6</t>
        </is>
      </c>
      <c r="F19" s="9" t="inlineStr">
        <is>
          <t>Auto</t>
        </is>
      </c>
    </row>
    <row r="20">
      <c r="A20" s="4" t="inlineStr">
        <is>
          <t>flange_diameter</t>
        </is>
      </c>
      <c r="B20" s="5" t="inlineStr">
        <is>
          <t>Flange diamter (If flange mounted)</t>
        </is>
      </c>
      <c r="C20" s="10" t="inlineStr">
        <is>
          <t>160</t>
        </is>
      </c>
      <c r="D20" s="4" t="inlineStr">
        <is>
          <t>mm</t>
        </is>
      </c>
      <c r="E20" s="8" t="inlineStr">
        <is>
          <t>p.14-15 output flange P (mm)</t>
        </is>
      </c>
      <c r="F20" s="9" t="inlineStr">
        <is>
          <t>Auto</t>
        </is>
      </c>
    </row>
    <row r="21">
      <c r="A21" s="4" t="inlineStr">
        <is>
          <t>lubricant_type</t>
        </is>
      </c>
      <c r="B21" s="5" t="inlineStr">
        <is>
          <t>Lubricant type</t>
        </is>
      </c>
      <c r="C21" s="10" t="inlineStr">
        <is>
          <t>ISO VG 320</t>
        </is>
      </c>
      <c r="D21" s="4" t="inlineStr"/>
      <c r="E21" s="8" t="inlineStr">
        <is>
          <t>p.13 Grade ISO VG 320; p.22 oil type table</t>
        </is>
      </c>
      <c r="F21" s="9" t="inlineStr">
        <is>
          <t>Auto</t>
        </is>
      </c>
    </row>
    <row r="22">
      <c r="A22" s="4" t="inlineStr">
        <is>
          <t>lubricant_quantity</t>
        </is>
      </c>
      <c r="B22" s="5" t="inlineStr">
        <is>
          <t>Lubricant quantity</t>
        </is>
      </c>
      <c r="C22" s="10" t="inlineStr">
        <is>
          <t>2</t>
        </is>
      </c>
      <c r="D22" s="4" t="inlineStr">
        <is>
          <t>Litres</t>
        </is>
      </c>
      <c r="E22" s="8" t="inlineStr">
        <is>
          <t>pp.18-19 oil quantity by size and M1-M6</t>
        </is>
      </c>
      <c r="F22" s="9" t="inlineStr">
        <is>
          <t>Auto</t>
        </is>
      </c>
    </row>
    <row r="23">
      <c r="A23" s="4" t="inlineStr">
        <is>
          <t>position_of_terminal_box</t>
        </is>
      </c>
      <c r="B23" s="5" t="inlineStr">
        <is>
          <t>Position of terminal box</t>
        </is>
      </c>
      <c r="C23" s="10" t="inlineStr">
        <is>
          <t>KP1</t>
        </is>
      </c>
      <c r="D23" s="4" t="inlineStr"/>
      <c r="E23" s="8" t="inlineStr">
        <is>
          <t>p.17 designation X3 terminal box; DS diagram KP1-KP4</t>
        </is>
      </c>
      <c r="F23" s="9" t="inlineStr">
        <is>
          <t>Auto</t>
        </is>
      </c>
    </row>
    <row r="24">
      <c r="A24" s="4" t="inlineStr">
        <is>
          <t>cable_entry_position</t>
        </is>
      </c>
      <c r="B24" s="5" t="inlineStr">
        <is>
          <t>Cable entry position</t>
        </is>
      </c>
      <c r="C24" s="10" t="inlineStr">
        <is>
          <t>A</t>
        </is>
      </c>
      <c r="D24" s="4" t="inlineStr"/>
      <c r="E24" s="8" t="inlineStr">
        <is>
          <t>DS diagram A; catalogue terminal-box options</t>
        </is>
      </c>
      <c r="F24" s="9" t="inlineStr">
        <is>
          <t>Auto</t>
        </is>
      </c>
    </row>
    <row r="25">
      <c r="A25" s="4" t="inlineStr">
        <is>
          <t>finished_paint_colour</t>
        </is>
      </c>
      <c r="B25" s="5" t="inlineStr">
        <is>
          <t>Finished paint colour</t>
        </is>
      </c>
      <c r="C25" s="10" t="inlineStr">
        <is>
          <t>Required value not found in catalogue.</t>
        </is>
      </c>
      <c r="D25" s="4" t="inlineStr"/>
      <c r="E25" s="8" t="inlineStr">
        <is>
          <t>NOT IDENTIFIED in RF-RK catalogue (painting note p.98 only)</t>
        </is>
      </c>
      <c r="F25" s="9" t="inlineStr">
        <is>
          <t>Auto</t>
        </is>
      </c>
    </row>
    <row r="26">
      <c r="A26" s="4" t="inlineStr">
        <is>
          <t>motor_type</t>
        </is>
      </c>
      <c r="B26" s="5" t="inlineStr">
        <is>
          <t>Motor type</t>
        </is>
      </c>
      <c r="C26" s="10" t="inlineStr">
        <is>
          <t>Standard</t>
        </is>
      </c>
      <c r="D26" s="4" t="inlineStr"/>
      <c r="E26" s="8" t="inlineStr">
        <is>
          <t>p.28 BAX brake / SMX standard</t>
        </is>
      </c>
      <c r="F26" s="9" t="inlineStr">
        <is>
          <t>Auto</t>
        </is>
      </c>
    </row>
    <row r="27">
      <c r="A27" s="4" t="inlineStr">
        <is>
          <t>number_of_poles</t>
        </is>
      </c>
      <c r="B27" s="5" t="inlineStr">
        <is>
          <t>Number of poles</t>
        </is>
      </c>
      <c r="C27" s="10" t="inlineStr">
        <is>
          <t>4</t>
        </is>
      </c>
      <c r="D27" s="4" t="inlineStr">
        <is>
          <t>nos</t>
        </is>
      </c>
      <c r="E27" s="8" t="inlineStr">
        <is>
          <t>Gearmotor tables use n2 consistent with 4-pole ~1440 rpm (50 Hz)</t>
        </is>
      </c>
      <c r="F27" s="9" t="inlineStr">
        <is>
          <t>Auto</t>
        </is>
      </c>
    </row>
    <row r="28">
      <c r="A28" s="4" t="inlineStr">
        <is>
          <t>duration_factor</t>
        </is>
      </c>
      <c r="B28" s="5" t="inlineStr">
        <is>
          <t>Duration factor</t>
        </is>
      </c>
      <c r="C28" s="10" t="inlineStr">
        <is>
          <t>S1-100</t>
        </is>
      </c>
      <c r="D28" s="4" t="inlineStr">
        <is>
          <t>%</t>
        </is>
      </c>
      <c r="E28" s="8" t="inlineStr">
        <is>
          <t>p.28-29 continuous duty S1</t>
        </is>
      </c>
      <c r="F28" s="9" t="inlineStr">
        <is>
          <t>Auto</t>
        </is>
      </c>
    </row>
    <row r="29">
      <c r="A29" s="4" t="inlineStr">
        <is>
          <t>efficiency_class</t>
        </is>
      </c>
      <c r="B29" s="5" t="inlineStr">
        <is>
          <t>Efficiency class</t>
        </is>
      </c>
      <c r="C29" s="10" t="inlineStr">
        <is>
          <t>IE3</t>
        </is>
      </c>
      <c r="D29" s="4" t="inlineStr"/>
      <c r="E29" s="8" t="inlineStr">
        <is>
          <t>p.13 / p.28 IE2 / IE3; constructive features list IE3, IE2</t>
        </is>
      </c>
      <c r="F29" s="9" t="inlineStr">
        <is>
          <t>Auto</t>
        </is>
      </c>
    </row>
    <row r="30">
      <c r="A30" s="4" t="inlineStr">
        <is>
          <t>efficiency</t>
        </is>
      </c>
      <c r="B30" s="5" t="inlineStr">
        <is>
          <t>Efficiency</t>
        </is>
      </c>
      <c r="C30" s="10" t="inlineStr">
        <is>
          <t>Required value not found in catalogue.</t>
        </is>
      </c>
      <c r="D30" s="4" t="inlineStr">
        <is>
          <t>%</t>
        </is>
      </c>
      <c r="E30" s="8" t="inlineStr">
        <is>
          <t>NOT IDENTIFIED — no η% motor table in RF-RK catalogue</t>
        </is>
      </c>
      <c r="F30" s="9" t="inlineStr">
        <is>
          <t>Auto</t>
        </is>
      </c>
    </row>
    <row r="31">
      <c r="A31" s="4" t="inlineStr">
        <is>
          <t>ce_marking</t>
        </is>
      </c>
      <c r="B31" s="5" t="inlineStr">
        <is>
          <t>CE Marking</t>
        </is>
      </c>
      <c r="C31" s="10" t="inlineStr">
        <is>
          <t>Yes</t>
        </is>
      </c>
      <c r="D31" s="4" t="inlineStr"/>
      <c r="E31" s="8" t="inlineStr">
        <is>
          <t>p.31 CE Mark</t>
        </is>
      </c>
      <c r="F31" s="9" t="inlineStr">
        <is>
          <t>Auto</t>
        </is>
      </c>
    </row>
    <row r="32">
      <c r="A32" s="4" t="inlineStr">
        <is>
          <t>motor_voltage</t>
        </is>
      </c>
      <c r="B32" s="5" t="inlineStr">
        <is>
          <t>Motor voltage</t>
        </is>
      </c>
      <c r="C32" s="10" t="inlineStr">
        <is>
          <t>240 / 415</t>
        </is>
      </c>
      <c r="D32" s="4" t="inlineStr">
        <is>
          <t>V</t>
        </is>
      </c>
      <c r="E32" s="8" t="inlineStr">
        <is>
          <t>p.28 Δ 240 V Y 415 V</t>
        </is>
      </c>
      <c r="F32" s="9" t="inlineStr">
        <is>
          <t>Auto</t>
        </is>
      </c>
    </row>
    <row r="33">
      <c r="A33" s="4" t="inlineStr">
        <is>
          <t>frequency</t>
        </is>
      </c>
      <c r="B33" s="5" t="inlineStr">
        <is>
          <t>Frequency</t>
        </is>
      </c>
      <c r="C33" s="10" t="inlineStr">
        <is>
          <t>50</t>
        </is>
      </c>
      <c r="D33" s="4" t="inlineStr">
        <is>
          <t>Hz</t>
        </is>
      </c>
      <c r="E33" s="8" t="inlineStr">
        <is>
          <t>p.28 50 Hz</t>
        </is>
      </c>
      <c r="F33" s="9" t="inlineStr">
        <is>
          <t>Auto</t>
        </is>
      </c>
    </row>
    <row r="34">
      <c r="A34" s="4" t="inlineStr">
        <is>
          <t>rated_current</t>
        </is>
      </c>
      <c r="B34" s="5" t="inlineStr">
        <is>
          <t>Rated current</t>
        </is>
      </c>
      <c r="C34" s="10" t="inlineStr">
        <is>
          <t>Required value not found in catalogue.</t>
        </is>
      </c>
      <c r="D34" s="4" t="inlineStr">
        <is>
          <t>A</t>
        </is>
      </c>
      <c r="E34" s="8" t="inlineStr">
        <is>
          <t>NOT IDENTIFIED — no I (A) motor table in RF-RK catalogue</t>
        </is>
      </c>
      <c r="F34" s="9" t="inlineStr">
        <is>
          <t>Auto</t>
        </is>
      </c>
    </row>
    <row r="35">
      <c r="A35" s="4" t="inlineStr">
        <is>
          <t>power_factor</t>
        </is>
      </c>
      <c r="B35" s="5" t="inlineStr">
        <is>
          <t>Power factor</t>
        </is>
      </c>
      <c r="C35" s="10" t="inlineStr">
        <is>
          <t>Required value not found in catalogue.</t>
        </is>
      </c>
      <c r="D35" s="4" t="inlineStr">
        <is>
          <t>Cos ø</t>
        </is>
      </c>
      <c r="E35" s="8" t="inlineStr">
        <is>
          <t>NOT IDENTIFIED — no cos φ motor table in RF-RK catalogue</t>
        </is>
      </c>
      <c r="F35" s="9" t="inlineStr">
        <is>
          <t>Auto</t>
        </is>
      </c>
    </row>
    <row r="36">
      <c r="A36" s="4" t="inlineStr">
        <is>
          <t>insulation_class</t>
        </is>
      </c>
      <c r="B36" s="5" t="inlineStr">
        <is>
          <t>Insulation class</t>
        </is>
      </c>
      <c r="C36" s="10" t="inlineStr">
        <is>
          <t>F</t>
        </is>
      </c>
      <c r="D36" s="4" t="inlineStr"/>
      <c r="E36" s="8" t="inlineStr">
        <is>
          <t>p.28 insulation class F</t>
        </is>
      </c>
      <c r="F36" s="9" t="inlineStr">
        <is>
          <t>Auto</t>
        </is>
      </c>
    </row>
    <row r="37">
      <c r="A37" s="4" t="inlineStr">
        <is>
          <t>protection_class</t>
        </is>
      </c>
      <c r="B37" s="5" t="inlineStr">
        <is>
          <t>Protection class</t>
        </is>
      </c>
      <c r="C37" s="10" t="inlineStr">
        <is>
          <t>IP 55</t>
        </is>
      </c>
      <c r="D37" s="4" t="inlineStr"/>
      <c r="E37" s="8" t="inlineStr">
        <is>
          <t>p.28 IP 55</t>
        </is>
      </c>
      <c r="F37" s="9" t="inlineStr">
        <is>
          <t>Auto</t>
        </is>
      </c>
    </row>
    <row r="38">
      <c r="A38" s="4" t="inlineStr">
        <is>
          <t>design_requirement</t>
        </is>
      </c>
      <c r="B38" s="5" t="inlineStr">
        <is>
          <t>Design requirement</t>
        </is>
      </c>
      <c r="C38" s="10" t="inlineStr">
        <is>
          <t>Europe (CE)</t>
        </is>
      </c>
      <c r="D38" s="4" t="inlineStr"/>
      <c r="E38" s="8" t="inlineStr">
        <is>
          <t>p.31 CE / Europe market marking</t>
        </is>
      </c>
      <c r="F38" s="9" t="inlineStr">
        <is>
          <t>Auto</t>
        </is>
      </c>
    </row>
    <row r="39">
      <c r="A39" s="4" t="inlineStr">
        <is>
          <t>weight</t>
        </is>
      </c>
      <c r="B39" s="5" t="inlineStr">
        <is>
          <t>Weight</t>
        </is>
      </c>
      <c r="C39" s="10" t="inlineStr">
        <is>
          <t>33 (gear unit only; motor mass not tabulated)</t>
        </is>
      </c>
      <c r="D39" s="4" t="inlineStr">
        <is>
          <t>kgs</t>
        </is>
      </c>
      <c r="E39" s="8" t="inlineStr">
        <is>
          <t>Selection tables Mass * kgs — gear unit WITHOUT motor (footnote)</t>
        </is>
      </c>
      <c r="F39" s="9" t="inlineStr">
        <is>
          <t>Auto</t>
        </is>
      </c>
    </row>
    <row r="40">
      <c r="A40" s="4" t="inlineStr">
        <is>
          <t>additional_features</t>
        </is>
      </c>
      <c r="B40" s="5" t="inlineStr">
        <is>
          <t>Additional Features</t>
        </is>
      </c>
      <c r="C40" s="10" t="inlineStr"/>
      <c r="D40" s="4" t="inlineStr"/>
      <c r="E40" s="8" t="inlineStr">
        <is>
          <t>Blank in DS example unless option selected</t>
        </is>
      </c>
      <c r="F40" s="9" t="inlineStr">
        <is>
          <t>Auto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F40"/>
  <mergeCells count="2">
    <mergeCell ref="A2:F2"/>
    <mergeCell ref="A1:F1"/>
  </mergeCells>
  <dataValidations count="12">
    <dataValidation sqref="C15" showDropDown="0" showInputMessage="1" showErrorMessage="0" allowBlank="1" promptTitle="Catalogue / DS values" prompt="Select a known value, or type a correction." type="list">
      <formula1>"Hollow with keyway,Solid with key,Solid with key (double extended),Hollow with shrink disc"</formula1>
    </dataValidation>
    <dataValidation sqref="C18" showDropDown="0" showInputMessage="1" showErrorMessage="0" allowBlank="1" promptTitle="Catalogue / DS values" prompt="Select a known value, or type a correction." type="list">
      <formula1>"Bi-directional"</formula1>
    </dataValidation>
    <dataValidation sqref="C19" showDropDown="0" showInputMessage="1" showErrorMessage="0" allowBlank="1" promptTitle="Catalogue / DS values" prompt="Select a known value, or type a correction." type="list">
      <formula1>"M1,M2,M3,M4,M5,M6"</formula1>
    </dataValidation>
    <dataValidation sqref="C21" showDropDown="0" showInputMessage="1" showErrorMessage="0" allowBlank="1" promptTitle="Catalogue / DS values" prompt="Select a known value, or type a correction." type="list">
      <formula1>"ISO VG 320"</formula1>
    </dataValidation>
    <dataValidation sqref="C23" showDropDown="0" showInputMessage="1" showErrorMessage="0" allowBlank="1" promptTitle="Catalogue / DS values" prompt="Select a known value, or type a correction." type="list">
      <formula1>"KP1,KP2,KP3,KP4"</formula1>
    </dataValidation>
    <dataValidation sqref="C24" showDropDown="0" showInputMessage="1" showErrorMessage="0" allowBlank="1" promptTitle="Catalogue / DS values" prompt="Select a known value, or type a correction." type="list">
      <formula1>"A,B,C,D"</formula1>
    </dataValidation>
    <dataValidation sqref="C26" showDropDown="0" showInputMessage="1" showErrorMessage="0" allowBlank="1" promptTitle="Catalogue / DS values" prompt="Select a known value, or type a correction." type="list">
      <formula1>"Standard,Brake"</formula1>
    </dataValidation>
    <dataValidation sqref="C29" showDropDown="0" showInputMessage="1" showErrorMessage="0" allowBlank="1" promptTitle="Catalogue / DS values" prompt="Select a known value, or type a correction." type="list">
      <formula1>"IE2,IE3"</formula1>
    </dataValidation>
    <dataValidation sqref="C31" showDropDown="0" showInputMessage="1" showErrorMessage="0" allowBlank="1" promptTitle="Catalogue / DS values" prompt="Select a known value, or type a correction." type="list">
      <formula1>"Yes"</formula1>
    </dataValidation>
    <dataValidation sqref="C36" showDropDown="0" showInputMessage="1" showErrorMessage="0" allowBlank="1" promptTitle="Catalogue / DS values" prompt="Select a known value, or type a correction." type="list">
      <formula1>"F"</formula1>
    </dataValidation>
    <dataValidation sqref="C37" showDropDown="0" showInputMessage="1" showErrorMessage="0" allowBlank="1" promptTitle="Catalogue / DS values" prompt="Select a known value, or type a correction." type="list">
      <formula1>"IP 55"</formula1>
    </dataValidation>
    <dataValidation sqref="C38" showDropDown="0" showInputMessage="1" showErrorMessage="0" allowBlank="1" promptTitle="Catalogue / DS values" prompt="Select a known value, or type a correction." type="list">
      <formula1>"Europe (CE)"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4" customWidth="1" min="3" max="3"/>
    <col width="40" customWidth="1" min="4" max="4"/>
    <col width="14" customWidth="1" min="5" max="5"/>
    <col width="12" customWidth="1" min="6" max="6"/>
  </cols>
  <sheetData>
    <row r="1">
      <c r="A1" s="1" t="inlineStr">
        <is>
          <t>Change log (Auto vs Edited)</t>
        </is>
      </c>
    </row>
    <row r="2">
      <c r="A2" s="11" t="inlineStr">
        <is>
          <t>This sheet does not appear on the final DS-021-0046 PDF. It is for review only.</t>
        </is>
      </c>
    </row>
    <row r="4">
      <c r="A4" s="12" t="inlineStr">
        <is>
          <t>Field</t>
        </is>
      </c>
      <c r="B4" s="12" t="inlineStr">
        <is>
          <t>Original Value</t>
        </is>
      </c>
      <c r="C4" s="12" t="inlineStr">
        <is>
          <t>Original Unit</t>
        </is>
      </c>
      <c r="D4" s="12" t="inlineStr">
        <is>
          <t>Edited Value</t>
        </is>
      </c>
      <c r="E4" s="12" t="inlineStr">
        <is>
          <t>Edited Unit</t>
        </is>
      </c>
      <c r="F4" s="12" t="inlineStr">
        <is>
          <t>Status</t>
        </is>
      </c>
    </row>
    <row r="5">
      <c r="A5" s="8">
        <f>Editable_Report!B5</f>
        <v/>
      </c>
      <c r="B5" s="8">
        <f>Original_Data!C5</f>
        <v/>
      </c>
      <c r="C5" s="8">
        <f>Original_Data!D5</f>
        <v/>
      </c>
      <c r="D5" s="8">
        <f>Editable_Report!C5</f>
        <v/>
      </c>
      <c r="E5" s="8">
        <f>Editable_Report!D5</f>
        <v/>
      </c>
      <c r="F5" s="13">
        <f>Editable_Report!F5</f>
        <v/>
      </c>
    </row>
    <row r="6">
      <c r="A6" s="8">
        <f>Editable_Report!B6</f>
        <v/>
      </c>
      <c r="B6" s="8">
        <f>Original_Data!C6</f>
        <v/>
      </c>
      <c r="C6" s="8">
        <f>Original_Data!D6</f>
        <v/>
      </c>
      <c r="D6" s="8">
        <f>Editable_Report!C6</f>
        <v/>
      </c>
      <c r="E6" s="8">
        <f>Editable_Report!D6</f>
        <v/>
      </c>
      <c r="F6" s="13">
        <f>Editable_Report!F6</f>
        <v/>
      </c>
    </row>
    <row r="7">
      <c r="A7" s="8">
        <f>Editable_Report!B7</f>
        <v/>
      </c>
      <c r="B7" s="8">
        <f>Original_Data!C7</f>
        <v/>
      </c>
      <c r="C7" s="8">
        <f>Original_Data!D7</f>
        <v/>
      </c>
      <c r="D7" s="8">
        <f>Editable_Report!C7</f>
        <v/>
      </c>
      <c r="E7" s="8">
        <f>Editable_Report!D7</f>
        <v/>
      </c>
      <c r="F7" s="13">
        <f>Editable_Report!F7</f>
        <v/>
      </c>
    </row>
    <row r="8">
      <c r="A8" s="8">
        <f>Editable_Report!B8</f>
        <v/>
      </c>
      <c r="B8" s="8">
        <f>Original_Data!C8</f>
        <v/>
      </c>
      <c r="C8" s="8">
        <f>Original_Data!D8</f>
        <v/>
      </c>
      <c r="D8" s="8">
        <f>Editable_Report!C8</f>
        <v/>
      </c>
      <c r="E8" s="8">
        <f>Editable_Report!D8</f>
        <v/>
      </c>
      <c r="F8" s="13">
        <f>Editable_Report!F8</f>
        <v/>
      </c>
    </row>
    <row r="9">
      <c r="A9" s="8">
        <f>Editable_Report!B9</f>
        <v/>
      </c>
      <c r="B9" s="8">
        <f>Original_Data!C9</f>
        <v/>
      </c>
      <c r="C9" s="8">
        <f>Original_Data!D9</f>
        <v/>
      </c>
      <c r="D9" s="8">
        <f>Editable_Report!C9</f>
        <v/>
      </c>
      <c r="E9" s="8">
        <f>Editable_Report!D9</f>
        <v/>
      </c>
      <c r="F9" s="13">
        <f>Editable_Report!F9</f>
        <v/>
      </c>
    </row>
    <row r="10">
      <c r="A10" s="8">
        <f>Editable_Report!B10</f>
        <v/>
      </c>
      <c r="B10" s="8">
        <f>Original_Data!C10</f>
        <v/>
      </c>
      <c r="C10" s="8">
        <f>Original_Data!D10</f>
        <v/>
      </c>
      <c r="D10" s="8">
        <f>Editable_Report!C10</f>
        <v/>
      </c>
      <c r="E10" s="8">
        <f>Editable_Report!D10</f>
        <v/>
      </c>
      <c r="F10" s="13">
        <f>Editable_Report!F10</f>
        <v/>
      </c>
    </row>
    <row r="11">
      <c r="A11" s="8">
        <f>Editable_Report!B11</f>
        <v/>
      </c>
      <c r="B11" s="8">
        <f>Original_Data!C11</f>
        <v/>
      </c>
      <c r="C11" s="8">
        <f>Original_Data!D11</f>
        <v/>
      </c>
      <c r="D11" s="8">
        <f>Editable_Report!C11</f>
        <v/>
      </c>
      <c r="E11" s="8">
        <f>Editable_Report!D11</f>
        <v/>
      </c>
      <c r="F11" s="13">
        <f>Editable_Report!F11</f>
        <v/>
      </c>
    </row>
    <row r="12">
      <c r="A12" s="8">
        <f>Editable_Report!B12</f>
        <v/>
      </c>
      <c r="B12" s="8">
        <f>Original_Data!C12</f>
        <v/>
      </c>
      <c r="C12" s="8">
        <f>Original_Data!D12</f>
        <v/>
      </c>
      <c r="D12" s="8">
        <f>Editable_Report!C12</f>
        <v/>
      </c>
      <c r="E12" s="8">
        <f>Editable_Report!D12</f>
        <v/>
      </c>
      <c r="F12" s="13">
        <f>Editable_Report!F12</f>
        <v/>
      </c>
    </row>
    <row r="13">
      <c r="A13" s="8">
        <f>Editable_Report!B13</f>
        <v/>
      </c>
      <c r="B13" s="8">
        <f>Original_Data!C13</f>
        <v/>
      </c>
      <c r="C13" s="8">
        <f>Original_Data!D13</f>
        <v/>
      </c>
      <c r="D13" s="8">
        <f>Editable_Report!C13</f>
        <v/>
      </c>
      <c r="E13" s="8">
        <f>Editable_Report!D13</f>
        <v/>
      </c>
      <c r="F13" s="13">
        <f>Editable_Report!F13</f>
        <v/>
      </c>
    </row>
    <row r="14">
      <c r="A14" s="8">
        <f>Editable_Report!B14</f>
        <v/>
      </c>
      <c r="B14" s="8">
        <f>Original_Data!C14</f>
        <v/>
      </c>
      <c r="C14" s="8">
        <f>Original_Data!D14</f>
        <v/>
      </c>
      <c r="D14" s="8">
        <f>Editable_Report!C14</f>
        <v/>
      </c>
      <c r="E14" s="8">
        <f>Editable_Report!D14</f>
        <v/>
      </c>
      <c r="F14" s="13">
        <f>Editable_Report!F14</f>
        <v/>
      </c>
    </row>
    <row r="15">
      <c r="A15" s="8">
        <f>Editable_Report!B15</f>
        <v/>
      </c>
      <c r="B15" s="8">
        <f>Original_Data!C15</f>
        <v/>
      </c>
      <c r="C15" s="8">
        <f>Original_Data!D15</f>
        <v/>
      </c>
      <c r="D15" s="8">
        <f>Editable_Report!C15</f>
        <v/>
      </c>
      <c r="E15" s="8">
        <f>Editable_Report!D15</f>
        <v/>
      </c>
      <c r="F15" s="13">
        <f>Editable_Report!F15</f>
        <v/>
      </c>
    </row>
    <row r="16">
      <c r="A16" s="8">
        <f>Editable_Report!B16</f>
        <v/>
      </c>
      <c r="B16" s="8">
        <f>Original_Data!C16</f>
        <v/>
      </c>
      <c r="C16" s="8">
        <f>Original_Data!D16</f>
        <v/>
      </c>
      <c r="D16" s="8">
        <f>Editable_Report!C16</f>
        <v/>
      </c>
      <c r="E16" s="8">
        <f>Editable_Report!D16</f>
        <v/>
      </c>
      <c r="F16" s="13">
        <f>Editable_Report!F16</f>
        <v/>
      </c>
    </row>
    <row r="17">
      <c r="A17" s="8">
        <f>Editable_Report!B17</f>
        <v/>
      </c>
      <c r="B17" s="8">
        <f>Original_Data!C17</f>
        <v/>
      </c>
      <c r="C17" s="8">
        <f>Original_Data!D17</f>
        <v/>
      </c>
      <c r="D17" s="8">
        <f>Editable_Report!C17</f>
        <v/>
      </c>
      <c r="E17" s="8">
        <f>Editable_Report!D17</f>
        <v/>
      </c>
      <c r="F17" s="13">
        <f>Editable_Report!F17</f>
        <v/>
      </c>
    </row>
    <row r="18">
      <c r="A18" s="8">
        <f>Editable_Report!B18</f>
        <v/>
      </c>
      <c r="B18" s="8">
        <f>Original_Data!C18</f>
        <v/>
      </c>
      <c r="C18" s="8">
        <f>Original_Data!D18</f>
        <v/>
      </c>
      <c r="D18" s="8">
        <f>Editable_Report!C18</f>
        <v/>
      </c>
      <c r="E18" s="8">
        <f>Editable_Report!D18</f>
        <v/>
      </c>
      <c r="F18" s="13">
        <f>Editable_Report!F18</f>
        <v/>
      </c>
    </row>
    <row r="19">
      <c r="A19" s="8">
        <f>Editable_Report!B19</f>
        <v/>
      </c>
      <c r="B19" s="8">
        <f>Original_Data!C19</f>
        <v/>
      </c>
      <c r="C19" s="8">
        <f>Original_Data!D19</f>
        <v/>
      </c>
      <c r="D19" s="8">
        <f>Editable_Report!C19</f>
        <v/>
      </c>
      <c r="E19" s="8">
        <f>Editable_Report!D19</f>
        <v/>
      </c>
      <c r="F19" s="13">
        <f>Editable_Report!F19</f>
        <v/>
      </c>
    </row>
    <row r="20">
      <c r="A20" s="8">
        <f>Editable_Report!B20</f>
        <v/>
      </c>
      <c r="B20" s="8">
        <f>Original_Data!C20</f>
        <v/>
      </c>
      <c r="C20" s="8">
        <f>Original_Data!D20</f>
        <v/>
      </c>
      <c r="D20" s="8">
        <f>Editable_Report!C20</f>
        <v/>
      </c>
      <c r="E20" s="8">
        <f>Editable_Report!D20</f>
        <v/>
      </c>
      <c r="F20" s="13">
        <f>Editable_Report!F20</f>
        <v/>
      </c>
    </row>
    <row r="21">
      <c r="A21" s="8">
        <f>Editable_Report!B21</f>
        <v/>
      </c>
      <c r="B21" s="8">
        <f>Original_Data!C21</f>
        <v/>
      </c>
      <c r="C21" s="8">
        <f>Original_Data!D21</f>
        <v/>
      </c>
      <c r="D21" s="8">
        <f>Editable_Report!C21</f>
        <v/>
      </c>
      <c r="E21" s="8">
        <f>Editable_Report!D21</f>
        <v/>
      </c>
      <c r="F21" s="13">
        <f>Editable_Report!F21</f>
        <v/>
      </c>
    </row>
    <row r="22">
      <c r="A22" s="8">
        <f>Editable_Report!B22</f>
        <v/>
      </c>
      <c r="B22" s="8">
        <f>Original_Data!C22</f>
        <v/>
      </c>
      <c r="C22" s="8">
        <f>Original_Data!D22</f>
        <v/>
      </c>
      <c r="D22" s="8">
        <f>Editable_Report!C22</f>
        <v/>
      </c>
      <c r="E22" s="8">
        <f>Editable_Report!D22</f>
        <v/>
      </c>
      <c r="F22" s="13">
        <f>Editable_Report!F22</f>
        <v/>
      </c>
    </row>
    <row r="23">
      <c r="A23" s="8">
        <f>Editable_Report!B23</f>
        <v/>
      </c>
      <c r="B23" s="8">
        <f>Original_Data!C23</f>
        <v/>
      </c>
      <c r="C23" s="8">
        <f>Original_Data!D23</f>
        <v/>
      </c>
      <c r="D23" s="8">
        <f>Editable_Report!C23</f>
        <v/>
      </c>
      <c r="E23" s="8">
        <f>Editable_Report!D23</f>
        <v/>
      </c>
      <c r="F23" s="13">
        <f>Editable_Report!F23</f>
        <v/>
      </c>
    </row>
    <row r="24">
      <c r="A24" s="8">
        <f>Editable_Report!B24</f>
        <v/>
      </c>
      <c r="B24" s="8">
        <f>Original_Data!C24</f>
        <v/>
      </c>
      <c r="C24" s="8">
        <f>Original_Data!D24</f>
        <v/>
      </c>
      <c r="D24" s="8">
        <f>Editable_Report!C24</f>
        <v/>
      </c>
      <c r="E24" s="8">
        <f>Editable_Report!D24</f>
        <v/>
      </c>
      <c r="F24" s="13">
        <f>Editable_Report!F24</f>
        <v/>
      </c>
    </row>
    <row r="25">
      <c r="A25" s="8">
        <f>Editable_Report!B25</f>
        <v/>
      </c>
      <c r="B25" s="8">
        <f>Original_Data!C25</f>
        <v/>
      </c>
      <c r="C25" s="8">
        <f>Original_Data!D25</f>
        <v/>
      </c>
      <c r="D25" s="8">
        <f>Editable_Report!C25</f>
        <v/>
      </c>
      <c r="E25" s="8">
        <f>Editable_Report!D25</f>
        <v/>
      </c>
      <c r="F25" s="13">
        <f>Editable_Report!F25</f>
        <v/>
      </c>
    </row>
    <row r="26">
      <c r="A26" s="8">
        <f>Editable_Report!B26</f>
        <v/>
      </c>
      <c r="B26" s="8">
        <f>Original_Data!C26</f>
        <v/>
      </c>
      <c r="C26" s="8">
        <f>Original_Data!D26</f>
        <v/>
      </c>
      <c r="D26" s="8">
        <f>Editable_Report!C26</f>
        <v/>
      </c>
      <c r="E26" s="8">
        <f>Editable_Report!D26</f>
        <v/>
      </c>
      <c r="F26" s="13">
        <f>Editable_Report!F26</f>
        <v/>
      </c>
    </row>
    <row r="27">
      <c r="A27" s="8">
        <f>Editable_Report!B27</f>
        <v/>
      </c>
      <c r="B27" s="8">
        <f>Original_Data!C27</f>
        <v/>
      </c>
      <c r="C27" s="8">
        <f>Original_Data!D27</f>
        <v/>
      </c>
      <c r="D27" s="8">
        <f>Editable_Report!C27</f>
        <v/>
      </c>
      <c r="E27" s="8">
        <f>Editable_Report!D27</f>
        <v/>
      </c>
      <c r="F27" s="13">
        <f>Editable_Report!F27</f>
        <v/>
      </c>
    </row>
    <row r="28">
      <c r="A28" s="8">
        <f>Editable_Report!B28</f>
        <v/>
      </c>
      <c r="B28" s="8">
        <f>Original_Data!C28</f>
        <v/>
      </c>
      <c r="C28" s="8">
        <f>Original_Data!D28</f>
        <v/>
      </c>
      <c r="D28" s="8">
        <f>Editable_Report!C28</f>
        <v/>
      </c>
      <c r="E28" s="8">
        <f>Editable_Report!D28</f>
        <v/>
      </c>
      <c r="F28" s="13">
        <f>Editable_Report!F28</f>
        <v/>
      </c>
    </row>
    <row r="29">
      <c r="A29" s="8">
        <f>Editable_Report!B29</f>
        <v/>
      </c>
      <c r="B29" s="8">
        <f>Original_Data!C29</f>
        <v/>
      </c>
      <c r="C29" s="8">
        <f>Original_Data!D29</f>
        <v/>
      </c>
      <c r="D29" s="8">
        <f>Editable_Report!C29</f>
        <v/>
      </c>
      <c r="E29" s="8">
        <f>Editable_Report!D29</f>
        <v/>
      </c>
      <c r="F29" s="13">
        <f>Editable_Report!F29</f>
        <v/>
      </c>
    </row>
    <row r="30">
      <c r="A30" s="8">
        <f>Editable_Report!B30</f>
        <v/>
      </c>
      <c r="B30" s="8">
        <f>Original_Data!C30</f>
        <v/>
      </c>
      <c r="C30" s="8">
        <f>Original_Data!D30</f>
        <v/>
      </c>
      <c r="D30" s="8">
        <f>Editable_Report!C30</f>
        <v/>
      </c>
      <c r="E30" s="8">
        <f>Editable_Report!D30</f>
        <v/>
      </c>
      <c r="F30" s="13">
        <f>Editable_Report!F30</f>
        <v/>
      </c>
    </row>
    <row r="31">
      <c r="A31" s="8">
        <f>Editable_Report!B31</f>
        <v/>
      </c>
      <c r="B31" s="8">
        <f>Original_Data!C31</f>
        <v/>
      </c>
      <c r="C31" s="8">
        <f>Original_Data!D31</f>
        <v/>
      </c>
      <c r="D31" s="8">
        <f>Editable_Report!C31</f>
        <v/>
      </c>
      <c r="E31" s="8">
        <f>Editable_Report!D31</f>
        <v/>
      </c>
      <c r="F31" s="13">
        <f>Editable_Report!F31</f>
        <v/>
      </c>
    </row>
    <row r="32">
      <c r="A32" s="8">
        <f>Editable_Report!B32</f>
        <v/>
      </c>
      <c r="B32" s="8">
        <f>Original_Data!C32</f>
        <v/>
      </c>
      <c r="C32" s="8">
        <f>Original_Data!D32</f>
        <v/>
      </c>
      <c r="D32" s="8">
        <f>Editable_Report!C32</f>
        <v/>
      </c>
      <c r="E32" s="8">
        <f>Editable_Report!D32</f>
        <v/>
      </c>
      <c r="F32" s="13">
        <f>Editable_Report!F32</f>
        <v/>
      </c>
    </row>
    <row r="33">
      <c r="A33" s="8">
        <f>Editable_Report!B33</f>
        <v/>
      </c>
      <c r="B33" s="8">
        <f>Original_Data!C33</f>
        <v/>
      </c>
      <c r="C33" s="8">
        <f>Original_Data!D33</f>
        <v/>
      </c>
      <c r="D33" s="8">
        <f>Editable_Report!C33</f>
        <v/>
      </c>
      <c r="E33" s="8">
        <f>Editable_Report!D33</f>
        <v/>
      </c>
      <c r="F33" s="13">
        <f>Editable_Report!F33</f>
        <v/>
      </c>
    </row>
    <row r="34">
      <c r="A34" s="8">
        <f>Editable_Report!B34</f>
        <v/>
      </c>
      <c r="B34" s="8">
        <f>Original_Data!C34</f>
        <v/>
      </c>
      <c r="C34" s="8">
        <f>Original_Data!D34</f>
        <v/>
      </c>
      <c r="D34" s="8">
        <f>Editable_Report!C34</f>
        <v/>
      </c>
      <c r="E34" s="8">
        <f>Editable_Report!D34</f>
        <v/>
      </c>
      <c r="F34" s="13">
        <f>Editable_Report!F34</f>
        <v/>
      </c>
    </row>
    <row r="35">
      <c r="A35" s="8">
        <f>Editable_Report!B35</f>
        <v/>
      </c>
      <c r="B35" s="8">
        <f>Original_Data!C35</f>
        <v/>
      </c>
      <c r="C35" s="8">
        <f>Original_Data!D35</f>
        <v/>
      </c>
      <c r="D35" s="8">
        <f>Editable_Report!C35</f>
        <v/>
      </c>
      <c r="E35" s="8">
        <f>Editable_Report!D35</f>
        <v/>
      </c>
      <c r="F35" s="13">
        <f>Editable_Report!F35</f>
        <v/>
      </c>
    </row>
    <row r="36">
      <c r="A36" s="8">
        <f>Editable_Report!B36</f>
        <v/>
      </c>
      <c r="B36" s="8">
        <f>Original_Data!C36</f>
        <v/>
      </c>
      <c r="C36" s="8">
        <f>Original_Data!D36</f>
        <v/>
      </c>
      <c r="D36" s="8">
        <f>Editable_Report!C36</f>
        <v/>
      </c>
      <c r="E36" s="8">
        <f>Editable_Report!D36</f>
        <v/>
      </c>
      <c r="F36" s="13">
        <f>Editable_Report!F36</f>
        <v/>
      </c>
    </row>
    <row r="37">
      <c r="A37" s="8">
        <f>Editable_Report!B37</f>
        <v/>
      </c>
      <c r="B37" s="8">
        <f>Original_Data!C37</f>
        <v/>
      </c>
      <c r="C37" s="8">
        <f>Original_Data!D37</f>
        <v/>
      </c>
      <c r="D37" s="8">
        <f>Editable_Report!C37</f>
        <v/>
      </c>
      <c r="E37" s="8">
        <f>Editable_Report!D37</f>
        <v/>
      </c>
      <c r="F37" s="13">
        <f>Editable_Report!F37</f>
        <v/>
      </c>
    </row>
    <row r="38">
      <c r="A38" s="8">
        <f>Editable_Report!B38</f>
        <v/>
      </c>
      <c r="B38" s="8">
        <f>Original_Data!C38</f>
        <v/>
      </c>
      <c r="C38" s="8">
        <f>Original_Data!D38</f>
        <v/>
      </c>
      <c r="D38" s="8">
        <f>Editable_Report!C38</f>
        <v/>
      </c>
      <c r="E38" s="8">
        <f>Editable_Report!D38</f>
        <v/>
      </c>
      <c r="F38" s="13">
        <f>Editable_Report!F38</f>
        <v/>
      </c>
    </row>
    <row r="39">
      <c r="A39" s="8">
        <f>Editable_Report!B39</f>
        <v/>
      </c>
      <c r="B39" s="8">
        <f>Original_Data!C39</f>
        <v/>
      </c>
      <c r="C39" s="8">
        <f>Original_Data!D39</f>
        <v/>
      </c>
      <c r="D39" s="8">
        <f>Editable_Report!C39</f>
        <v/>
      </c>
      <c r="E39" s="8">
        <f>Editable_Report!D39</f>
        <v/>
      </c>
      <c r="F39" s="13">
        <f>Editable_Report!F39</f>
        <v/>
      </c>
    </row>
    <row r="40">
      <c r="A40" s="8">
        <f>Editable_Report!B40</f>
        <v/>
      </c>
      <c r="B40" s="8">
        <f>Original_Data!C40</f>
        <v/>
      </c>
      <c r="C40" s="8">
        <f>Original_Data!D40</f>
        <v/>
      </c>
      <c r="D40" s="8">
        <f>Editable_Report!C40</f>
        <v/>
      </c>
      <c r="E40" s="8">
        <f>Editable_Report!D40</f>
        <v/>
      </c>
      <c r="F40" s="13">
        <f>Editable_Report!F40</f>
        <v/>
      </c>
    </row>
  </sheetData>
  <autoFilter ref="A4:F40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Source / selection traceability</t>
        </is>
      </c>
    </row>
    <row r="2">
      <c r="A2" s="11" t="inlineStr">
        <is>
          <t>Not included in the final PDF unless DS-021-0046 requires it.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s="5" t="inlineStr">
        <is>
          <t>Product series</t>
        </is>
      </c>
      <c r="B5" s="14" t="inlineStr">
        <is>
          <t>RF</t>
        </is>
      </c>
    </row>
    <row r="6">
      <c r="A6" s="5" t="inlineStr">
        <is>
          <t>Catalogue model</t>
        </is>
      </c>
      <c r="B6" s="14" t="inlineStr">
        <is>
          <t>RF 042 - IEC 90 B5</t>
        </is>
      </c>
    </row>
    <row r="7">
      <c r="A7" s="5" t="inlineStr">
        <is>
          <t>Catalogue record id</t>
        </is>
      </c>
      <c r="B7" s="14" t="inlineStr">
        <is>
          <t>51</t>
        </is>
      </c>
    </row>
    <row r="8">
      <c r="A8" s="5" t="inlineStr">
        <is>
          <t>Selected power</t>
        </is>
      </c>
      <c r="B8" s="14" t="inlineStr">
        <is>
          <t>1.5</t>
        </is>
      </c>
    </row>
    <row r="9">
      <c r="A9" s="5" t="inlineStr">
        <is>
          <t>Selected ratio</t>
        </is>
      </c>
      <c r="B9" s="14" t="inlineStr">
        <is>
          <t>36.53</t>
        </is>
      </c>
    </row>
    <row r="10">
      <c r="A10" s="5" t="inlineStr">
        <is>
          <t>Catalogue page</t>
        </is>
      </c>
      <c r="B10" s="14" t="inlineStr">
        <is>
          <t>38</t>
        </is>
      </c>
    </row>
    <row r="11">
      <c r="A11" s="5" t="inlineStr">
        <is>
          <t>Catalogue table</t>
        </is>
      </c>
      <c r="B11" s="14" t="inlineStr">
        <is>
          <t>Section 15 - Selection Tables - Parallel Helical Gear Motors (RF)</t>
        </is>
      </c>
    </row>
    <row r="12">
      <c r="A12" s="5" t="inlineStr">
        <is>
          <t>Catalogue reference</t>
        </is>
      </c>
      <c r="B12" s="14" t="inlineStr">
        <is>
          <t>RF-RK Catalogue</t>
        </is>
      </c>
    </row>
    <row r="13">
      <c r="A13" s="5" t="inlineStr">
        <is>
          <t>Output document</t>
        </is>
      </c>
      <c r="B13" s="14" t="inlineStr">
        <is>
          <t>DS-021-0046</t>
        </is>
      </c>
    </row>
    <row r="14">
      <c r="A14" s="5" t="inlineStr">
        <is>
          <t>Generation date/time</t>
        </is>
      </c>
      <c r="B14" s="14" t="inlineStr">
        <is>
          <t>2026-09-24 16:04:15</t>
        </is>
      </c>
    </row>
    <row r="15">
      <c r="A15" s="5" t="inlineStr">
        <is>
          <t>Weight note</t>
        </is>
      </c>
      <c r="B15" s="14" t="inlineStr">
        <is>
          <t>Catalogue mass is gear unit only (without motor). Complete unit weight is not tabulated.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MGM-Varvel Product Selector</dc:creator>
  <dc:title>DS-021-0046 Editable Report</dc:title>
  <dcterms:created xsi:type="dcterms:W3CDTF">2026-09-24T10:34:15Z</dcterms:created>
  <dcterms:modified xsi:type="dcterms:W3CDTF">2026-09-24T10:34:15Z</dcterms:modified>
</cp:coreProperties>
</file>